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CRETARIA DAF\Desktop\"/>
    </mc:Choice>
  </mc:AlternateContent>
  <xr:revisionPtr revIDLastSave="0" documentId="8_{22B30017-0AF2-4529-B7F8-86D0F98F22EC}" xr6:coauthVersionLast="47" xr6:coauthVersionMax="47" xr10:uidLastSave="{00000000-0000-0000-0000-000000000000}"/>
  <bookViews>
    <workbookView xWindow="-120" yWindow="-120" windowWidth="20730" windowHeight="11160" tabRatio="833" xr2:uid="{00000000-000D-0000-FFFF-FFFF00000000}"/>
  </bookViews>
  <sheets>
    <sheet name="PERSONAL DE LA ESFM" sheetId="1" r:id="rId1"/>
    <sheet name="PARTICIPANTES EN LA CUMBRE" sheetId="29" state="hidden" r:id="rId2"/>
    <sheet name="CUMPLEAÑOS" sheetId="14" state="hidden" r:id="rId3"/>
    <sheet name="ASISTENCIA 1" sheetId="13" state="hidden" r:id="rId4"/>
    <sheet name="ASIS_SINDICATO" sheetId="25" state="hidden" r:id="rId5"/>
    <sheet name="ASISTENCIA 2" sheetId="2" state="hidden" r:id="rId6"/>
    <sheet name="ASIS_EST" sheetId="30" state="hidden" r:id="rId7"/>
    <sheet name="AÑO NUEVO" sheetId="28" state="hidden" r:id="rId8"/>
    <sheet name="ASIS_OTROS" sheetId="24" state="hidden" r:id="rId9"/>
    <sheet name="COMISIONES1" sheetId="22" state="hidden" r:id="rId10"/>
    <sheet name="APORTES" sheetId="4" state="hidden" r:id="rId11"/>
    <sheet name="APORTES1" sheetId="5" state="hidden" r:id="rId12"/>
    <sheet name="PRESENTACION" sheetId="21" state="hidden" r:id="rId13"/>
    <sheet name="CUMPLIMINETO" sheetId="26" state="hidden" r:id="rId14"/>
  </sheets>
  <definedNames>
    <definedName name="_xlnm._FilterDatabase" localSheetId="7" hidden="1">'AÑO NUEVO'!$A$3:$G$3</definedName>
    <definedName name="_xlnm._FilterDatabase" localSheetId="10" hidden="1">APORTES!$A$3:$E$3</definedName>
    <definedName name="_xlnm._FilterDatabase" localSheetId="11" hidden="1">APORTES1!$A$3:$F$3</definedName>
    <definedName name="_xlnm._FilterDatabase" localSheetId="9" hidden="1">COMISIONES1!$A$3:$C$3</definedName>
    <definedName name="_xlnm._FilterDatabase" localSheetId="2" hidden="1">CUMPLEAÑOS!$B$4:$I$4</definedName>
    <definedName name="_xlnm._FilterDatabase" localSheetId="0" hidden="1">'PERSONAL DE LA ESFM'!$A$11:$F$11</definedName>
    <definedName name="_xlnm.Print_Area" localSheetId="0">'PERSONAL DE LA ESFM'!$A$2:$F$47</definedName>
    <definedName name="_xlnm.Print_Titles" localSheetId="11">APORTES1!$1:$3</definedName>
    <definedName name="_xlnm.Print_Titles" localSheetId="5">'ASISTENCIA 2'!$3:$3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B19" i="2"/>
  <c r="B20" i="2"/>
  <c r="B21" i="2"/>
  <c r="B22" i="2"/>
  <c r="B23" i="2"/>
  <c r="B24" i="2"/>
  <c r="B25" i="2"/>
  <c r="B26" i="2"/>
  <c r="B11" i="2"/>
  <c r="B12" i="2"/>
  <c r="B13" i="2"/>
  <c r="B14" i="2"/>
  <c r="B15" i="2"/>
  <c r="B16" i="2"/>
  <c r="B17" i="2"/>
  <c r="B29" i="2" l="1"/>
  <c r="B30" i="2"/>
  <c r="B31" i="2"/>
  <c r="B32" i="2"/>
  <c r="B33" i="2"/>
  <c r="B34" i="2"/>
  <c r="B35" i="2"/>
  <c r="B36" i="2"/>
  <c r="B37" i="2"/>
  <c r="AB38" i="13" l="1"/>
  <c r="AC38" i="13"/>
  <c r="AD38" i="13"/>
  <c r="AE38" i="13"/>
  <c r="AB39" i="13"/>
  <c r="AC39" i="13"/>
  <c r="AD39" i="13"/>
  <c r="AE39" i="13"/>
  <c r="AB27" i="13"/>
  <c r="AC27" i="13"/>
  <c r="AD27" i="13"/>
  <c r="AE27" i="13"/>
  <c r="AB28" i="13"/>
  <c r="AC28" i="13"/>
  <c r="AD28" i="13"/>
  <c r="AE28" i="13"/>
  <c r="AB26" i="13"/>
  <c r="AC26" i="13"/>
  <c r="AD26" i="13"/>
  <c r="AE26" i="13"/>
  <c r="AF28" i="13" l="1"/>
  <c r="AF38" i="13"/>
  <c r="AF39" i="13"/>
  <c r="AF27" i="13"/>
  <c r="AF26" i="13"/>
  <c r="I42" i="14"/>
  <c r="I26" i="14"/>
  <c r="I18" i="14"/>
  <c r="I37" i="14"/>
  <c r="I25" i="14"/>
  <c r="I13" i="14"/>
  <c r="I11" i="14"/>
  <c r="I16" i="14"/>
  <c r="I12" i="14"/>
  <c r="I34" i="14"/>
  <c r="I15" i="14"/>
  <c r="I36" i="14"/>
  <c r="I31" i="14"/>
  <c r="I29" i="14"/>
  <c r="I21" i="14"/>
  <c r="I7" i="14"/>
  <c r="I24" i="14"/>
  <c r="I23" i="14"/>
  <c r="I39" i="14"/>
  <c r="I6" i="14"/>
  <c r="I20" i="14"/>
  <c r="I8" i="14"/>
  <c r="I30" i="14"/>
  <c r="I10" i="14"/>
  <c r="I19" i="14"/>
  <c r="I17" i="14"/>
  <c r="I41" i="14"/>
  <c r="I14" i="14"/>
  <c r="I40" i="14"/>
  <c r="I28" i="14"/>
  <c r="I5" i="14"/>
  <c r="I35" i="14"/>
  <c r="I9" i="14"/>
  <c r="I22" i="14"/>
  <c r="I32" i="14"/>
  <c r="I27" i="14"/>
  <c r="I38" i="14"/>
  <c r="I33" i="14"/>
  <c r="E20" i="14" l="1"/>
  <c r="E12" i="14"/>
  <c r="E15" i="14"/>
  <c r="E19" i="14"/>
  <c r="E39" i="14"/>
  <c r="E22" i="14"/>
  <c r="E29" i="14"/>
  <c r="E18" i="14"/>
  <c r="E41" i="14"/>
  <c r="E5" i="14"/>
  <c r="E42" i="14"/>
  <c r="E40" i="14"/>
  <c r="E24" i="14"/>
  <c r="E31" i="14"/>
  <c r="E33" i="14"/>
  <c r="E13" i="14"/>
  <c r="E21" i="14"/>
  <c r="E9" i="14"/>
  <c r="E38" i="14"/>
  <c r="E10" i="14"/>
  <c r="E11" i="14"/>
  <c r="E7" i="14"/>
  <c r="E32" i="14"/>
  <c r="E37" i="14"/>
  <c r="E30" i="14"/>
  <c r="E34" i="14"/>
  <c r="E17" i="14"/>
  <c r="E6" i="14"/>
  <c r="E27" i="14"/>
  <c r="E28" i="14"/>
  <c r="E23" i="14"/>
  <c r="E35" i="14"/>
  <c r="E8" i="14"/>
  <c r="E14" i="14"/>
  <c r="E36" i="14"/>
  <c r="E16" i="14"/>
  <c r="E26" i="14"/>
  <c r="E25" i="14"/>
  <c r="O50" i="25" l="1"/>
  <c r="N50" i="25"/>
  <c r="M50" i="25"/>
  <c r="H50" i="25"/>
  <c r="G50" i="25"/>
  <c r="F50" i="25"/>
  <c r="E50" i="25"/>
  <c r="D50" i="25"/>
  <c r="O49" i="25"/>
  <c r="N49" i="25"/>
  <c r="M49" i="25"/>
  <c r="H49" i="25"/>
  <c r="G49" i="25"/>
  <c r="F49" i="25"/>
  <c r="E49" i="25"/>
  <c r="D49" i="25"/>
  <c r="O48" i="25"/>
  <c r="N48" i="25"/>
  <c r="M48" i="25"/>
  <c r="H48" i="25"/>
  <c r="G48" i="25"/>
  <c r="F48" i="25"/>
  <c r="E48" i="25"/>
  <c r="D48" i="25"/>
  <c r="O47" i="25"/>
  <c r="N47" i="25"/>
  <c r="M47" i="25"/>
  <c r="H47" i="25"/>
  <c r="G47" i="25"/>
  <c r="F47" i="25"/>
  <c r="E47" i="25"/>
  <c r="D47" i="25"/>
  <c r="M51" i="25" l="1"/>
  <c r="E51" i="25"/>
  <c r="O51" i="25"/>
  <c r="N51" i="25"/>
  <c r="G51" i="25"/>
  <c r="F51" i="25"/>
  <c r="H51" i="25"/>
  <c r="D51" i="25"/>
  <c r="B40" i="2"/>
  <c r="B41" i="2"/>
  <c r="B42" i="2"/>
  <c r="B43" i="2"/>
  <c r="B44" i="2"/>
  <c r="B45" i="2"/>
  <c r="B39" i="2"/>
  <c r="B28" i="2"/>
  <c r="B10" i="2"/>
  <c r="B5" i="2"/>
  <c r="B6" i="2"/>
  <c r="B7" i="2"/>
  <c r="B8" i="2"/>
  <c r="B4" i="2"/>
  <c r="AA80" i="13" l="1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AA77" i="13"/>
  <c r="AA81" i="13" s="1"/>
  <c r="Z77" i="13"/>
  <c r="Y77" i="13"/>
  <c r="X77" i="13"/>
  <c r="W77" i="13"/>
  <c r="W81" i="13" s="1"/>
  <c r="V77" i="13"/>
  <c r="V81" i="13" s="1"/>
  <c r="U77" i="13"/>
  <c r="T77" i="13"/>
  <c r="S77" i="13"/>
  <c r="S81" i="13" s="1"/>
  <c r="R77" i="13"/>
  <c r="R81" i="13" s="1"/>
  <c r="Q77" i="13"/>
  <c r="Q81" i="13" s="1"/>
  <c r="P77" i="13"/>
  <c r="O77" i="13"/>
  <c r="O81" i="13" s="1"/>
  <c r="N77" i="13"/>
  <c r="N81" i="13" s="1"/>
  <c r="M77" i="13"/>
  <c r="M81" i="13" s="1"/>
  <c r="L77" i="13"/>
  <c r="K77" i="13"/>
  <c r="K81" i="13" s="1"/>
  <c r="J77" i="13"/>
  <c r="J81" i="13" s="1"/>
  <c r="I77" i="13"/>
  <c r="I81" i="13" s="1"/>
  <c r="H77" i="13"/>
  <c r="G77" i="13"/>
  <c r="F77" i="13"/>
  <c r="F81" i="13" s="1"/>
  <c r="E77" i="13"/>
  <c r="E81" i="13" s="1"/>
  <c r="D77" i="13"/>
  <c r="AE76" i="13"/>
  <c r="AD76" i="13"/>
  <c r="AC76" i="13"/>
  <c r="AB76" i="13"/>
  <c r="AE75" i="13"/>
  <c r="AD75" i="13"/>
  <c r="AC75" i="13"/>
  <c r="AB75" i="13"/>
  <c r="AE74" i="13"/>
  <c r="AD74" i="13"/>
  <c r="AC74" i="13"/>
  <c r="AB74" i="13"/>
  <c r="AE73" i="13"/>
  <c r="AD73" i="13"/>
  <c r="AC73" i="13"/>
  <c r="AB73" i="13"/>
  <c r="AE72" i="13"/>
  <c r="AD72" i="13"/>
  <c r="AC72" i="13"/>
  <c r="AB72" i="13"/>
  <c r="AE71" i="13"/>
  <c r="AD71" i="13"/>
  <c r="AC71" i="13"/>
  <c r="AB71" i="13"/>
  <c r="AE70" i="13"/>
  <c r="AD70" i="13"/>
  <c r="AC70" i="13"/>
  <c r="AB70" i="13"/>
  <c r="AE69" i="13"/>
  <c r="AD69" i="13"/>
  <c r="AC69" i="13"/>
  <c r="AB69" i="13"/>
  <c r="AE68" i="13"/>
  <c r="AD68" i="13"/>
  <c r="AC68" i="13"/>
  <c r="AB68" i="13"/>
  <c r="AE67" i="13"/>
  <c r="AD67" i="13"/>
  <c r="AC67" i="13"/>
  <c r="AB67" i="13"/>
  <c r="AE66" i="13"/>
  <c r="AD66" i="13"/>
  <c r="AC66" i="13"/>
  <c r="AB66" i="13"/>
  <c r="AE65" i="13"/>
  <c r="AD65" i="13"/>
  <c r="AC65" i="13"/>
  <c r="AB65" i="13"/>
  <c r="AE64" i="13"/>
  <c r="AD64" i="13"/>
  <c r="AC64" i="13"/>
  <c r="AB64" i="13"/>
  <c r="AE63" i="13"/>
  <c r="AD63" i="13"/>
  <c r="AC63" i="13"/>
  <c r="AB63" i="13"/>
  <c r="AE62" i="13"/>
  <c r="AD62" i="13"/>
  <c r="AC62" i="13"/>
  <c r="AB62" i="13"/>
  <c r="AE61" i="13"/>
  <c r="AD61" i="13"/>
  <c r="AC61" i="13"/>
  <c r="AB61" i="13"/>
  <c r="AE60" i="13"/>
  <c r="AD60" i="13"/>
  <c r="AC60" i="13"/>
  <c r="AB60" i="13"/>
  <c r="AE59" i="13"/>
  <c r="AD59" i="13"/>
  <c r="AC59" i="13"/>
  <c r="AB59" i="13"/>
  <c r="AE58" i="13"/>
  <c r="AD58" i="13"/>
  <c r="AC58" i="13"/>
  <c r="AB58" i="13"/>
  <c r="AE57" i="13"/>
  <c r="AD57" i="13"/>
  <c r="AC57" i="13"/>
  <c r="AB57" i="13"/>
  <c r="G81" i="13" l="1"/>
  <c r="AB77" i="13"/>
  <c r="Y81" i="13"/>
  <c r="Z81" i="13"/>
  <c r="U81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D81" i="13"/>
  <c r="H81" i="13"/>
  <c r="L81" i="13"/>
  <c r="P81" i="13"/>
  <c r="T81" i="13"/>
  <c r="X81" i="13"/>
  <c r="AF57" i="13"/>
  <c r="K5" i="4" l="1"/>
  <c r="T5" i="4" s="1"/>
  <c r="K6" i="4"/>
  <c r="T6" i="4" s="1"/>
  <c r="K7" i="4"/>
  <c r="T7" i="4" s="1"/>
  <c r="K8" i="4"/>
  <c r="T8" i="4" s="1"/>
  <c r="K9" i="4"/>
  <c r="T9" i="4" s="1"/>
  <c r="K10" i="4"/>
  <c r="T10" i="4" s="1"/>
  <c r="K11" i="4"/>
  <c r="T11" i="4" s="1"/>
  <c r="K12" i="4"/>
  <c r="T12" i="4" s="1"/>
  <c r="K13" i="4"/>
  <c r="T13" i="4" s="1"/>
  <c r="K14" i="4"/>
  <c r="T14" i="4" s="1"/>
  <c r="K15" i="4"/>
  <c r="T15" i="4" s="1"/>
  <c r="K16" i="4"/>
  <c r="T16" i="4" s="1"/>
  <c r="K17" i="4"/>
  <c r="T17" i="4" s="1"/>
  <c r="K18" i="4"/>
  <c r="T18" i="4" s="1"/>
  <c r="K19" i="4"/>
  <c r="T19" i="4" s="1"/>
  <c r="K20" i="4"/>
  <c r="T20" i="4" s="1"/>
  <c r="K21" i="4"/>
  <c r="T21" i="4" s="1"/>
  <c r="K22" i="4"/>
  <c r="T22" i="4" s="1"/>
  <c r="K23" i="4"/>
  <c r="T23" i="4" s="1"/>
  <c r="K24" i="4"/>
  <c r="T24" i="4" s="1"/>
  <c r="K25" i="4"/>
  <c r="T25" i="4" s="1"/>
  <c r="K26" i="4"/>
  <c r="T26" i="4" s="1"/>
  <c r="K27" i="4"/>
  <c r="T27" i="4" s="1"/>
  <c r="K28" i="4"/>
  <c r="T28" i="4" s="1"/>
  <c r="K29" i="4"/>
  <c r="T29" i="4" s="1"/>
  <c r="K30" i="4"/>
  <c r="T30" i="4" s="1"/>
  <c r="K31" i="4"/>
  <c r="T31" i="4" s="1"/>
  <c r="K32" i="4"/>
  <c r="T32" i="4" s="1"/>
  <c r="K33" i="4"/>
  <c r="T33" i="4" s="1"/>
  <c r="K34" i="4"/>
  <c r="T34" i="4" s="1"/>
  <c r="K35" i="4"/>
  <c r="T35" i="4" s="1"/>
  <c r="K36" i="4"/>
  <c r="T36" i="4" s="1"/>
  <c r="K37" i="4"/>
  <c r="T37" i="4" s="1"/>
  <c r="K38" i="4"/>
  <c r="T38" i="4" s="1"/>
  <c r="K39" i="4"/>
  <c r="T39" i="4" s="1"/>
  <c r="K40" i="4"/>
  <c r="T40" i="4" s="1"/>
  <c r="K41" i="4"/>
  <c r="T41" i="4" s="1"/>
  <c r="K42" i="4"/>
  <c r="T42" i="4" s="1"/>
  <c r="K43" i="4"/>
  <c r="T43" i="4" s="1"/>
  <c r="K44" i="4"/>
  <c r="T44" i="4" s="1"/>
  <c r="K45" i="4"/>
  <c r="T45" i="4" s="1"/>
  <c r="K46" i="4"/>
  <c r="T46" i="4" s="1"/>
  <c r="K47" i="4"/>
  <c r="T47" i="4" s="1"/>
  <c r="K4" i="4"/>
  <c r="T4" i="4" s="1"/>
  <c r="Y4" i="4" l="1"/>
  <c r="Y6" i="4" s="1"/>
  <c r="P4" i="4"/>
  <c r="P6" i="4" s="1"/>
  <c r="V12" i="4" l="1"/>
  <c r="V16" i="4"/>
  <c r="V20" i="4"/>
  <c r="V24" i="4"/>
  <c r="V30" i="4"/>
  <c r="V34" i="4"/>
  <c r="V38" i="4"/>
  <c r="V44" i="4"/>
  <c r="V5" i="4"/>
  <c r="V4" i="4"/>
  <c r="V13" i="4"/>
  <c r="V17" i="4"/>
  <c r="V21" i="4"/>
  <c r="V25" i="4"/>
  <c r="V31" i="4"/>
  <c r="V35" i="4"/>
  <c r="V41" i="4"/>
  <c r="V45" i="4"/>
  <c r="V6" i="4"/>
  <c r="V14" i="4"/>
  <c r="V18" i="4"/>
  <c r="V22" i="4"/>
  <c r="V26" i="4"/>
  <c r="V32" i="4"/>
  <c r="V36" i="4"/>
  <c r="V42" i="4"/>
  <c r="V46" i="4"/>
  <c r="V7" i="4"/>
  <c r="V11" i="4"/>
  <c r="V15" i="4"/>
  <c r="V19" i="4"/>
  <c r="V23" i="4"/>
  <c r="V29" i="4"/>
  <c r="V33" i="4"/>
  <c r="V37" i="4"/>
  <c r="V43" i="4"/>
  <c r="V47" i="4"/>
  <c r="V8" i="4"/>
  <c r="M29" i="4"/>
  <c r="M33" i="4"/>
  <c r="M37" i="4"/>
  <c r="M43" i="4"/>
  <c r="M47" i="4"/>
  <c r="M15" i="4"/>
  <c r="M19" i="4"/>
  <c r="M23" i="4"/>
  <c r="M11" i="4"/>
  <c r="M8" i="4"/>
  <c r="M30" i="4"/>
  <c r="M34" i="4"/>
  <c r="M38" i="4"/>
  <c r="M44" i="4"/>
  <c r="M12" i="4"/>
  <c r="M16" i="4"/>
  <c r="M20" i="4"/>
  <c r="M24" i="4"/>
  <c r="M5" i="4"/>
  <c r="M4" i="4"/>
  <c r="M31" i="4"/>
  <c r="M35" i="4"/>
  <c r="M41" i="4"/>
  <c r="M45" i="4"/>
  <c r="M13" i="4"/>
  <c r="M17" i="4"/>
  <c r="M21" i="4"/>
  <c r="M25" i="4"/>
  <c r="M6" i="4"/>
  <c r="M32" i="4"/>
  <c r="M36" i="4"/>
  <c r="M42" i="4"/>
  <c r="M46" i="4"/>
  <c r="M14" i="4"/>
  <c r="M18" i="4"/>
  <c r="M22" i="4"/>
  <c r="M26" i="4"/>
  <c r="M7" i="4"/>
  <c r="E42" i="5" l="1"/>
  <c r="D24" i="4" l="1"/>
  <c r="D47" i="4"/>
  <c r="D46" i="4"/>
  <c r="D45" i="4"/>
  <c r="D44" i="4"/>
  <c r="D43" i="4"/>
  <c r="D42" i="4"/>
  <c r="D41" i="4"/>
  <c r="D8" i="4"/>
  <c r="D7" i="4"/>
  <c r="D49" i="13" l="1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L52" i="13" l="1"/>
  <c r="W52" i="13"/>
  <c r="O52" i="13"/>
  <c r="G52" i="13"/>
  <c r="Y52" i="13"/>
  <c r="Q52" i="13"/>
  <c r="I52" i="13"/>
  <c r="T52" i="13"/>
  <c r="Z52" i="13"/>
  <c r="R52" i="13"/>
  <c r="J52" i="13"/>
  <c r="AA52" i="13"/>
  <c r="D52" i="13"/>
  <c r="X52" i="13"/>
  <c r="H52" i="13"/>
  <c r="P52" i="13"/>
  <c r="E52" i="13"/>
  <c r="V52" i="13"/>
  <c r="N52" i="13"/>
  <c r="F52" i="13"/>
  <c r="U52" i="13"/>
  <c r="M52" i="13"/>
  <c r="S52" i="13"/>
  <c r="K52" i="13"/>
  <c r="AC6" i="13"/>
  <c r="AC7" i="13"/>
  <c r="AC8" i="13"/>
  <c r="AC9" i="13"/>
  <c r="AC11" i="13"/>
  <c r="AC12" i="13"/>
  <c r="AC13" i="13"/>
  <c r="AC14" i="13"/>
  <c r="AC15" i="13"/>
  <c r="AC16" i="13"/>
  <c r="AC17" i="13"/>
  <c r="AC19" i="13"/>
  <c r="AC20" i="13"/>
  <c r="AC21" i="13"/>
  <c r="AC22" i="13"/>
  <c r="AC23" i="13"/>
  <c r="AC24" i="13"/>
  <c r="AC25" i="13"/>
  <c r="AC30" i="13"/>
  <c r="AC31" i="13"/>
  <c r="AC32" i="13"/>
  <c r="AC33" i="13"/>
  <c r="AC34" i="13"/>
  <c r="AC35" i="13"/>
  <c r="AC36" i="13"/>
  <c r="AC37" i="13"/>
  <c r="AC41" i="13"/>
  <c r="AC42" i="13"/>
  <c r="AC43" i="13"/>
  <c r="AC44" i="13"/>
  <c r="AC45" i="13"/>
  <c r="AC46" i="13"/>
  <c r="AC47" i="13"/>
  <c r="AC5" i="13"/>
  <c r="AC48" i="13" l="1"/>
  <c r="AD6" i="13"/>
  <c r="AE6" i="13"/>
  <c r="AD7" i="13"/>
  <c r="AE7" i="13"/>
  <c r="AD8" i="13"/>
  <c r="AE8" i="13"/>
  <c r="AD9" i="13"/>
  <c r="AE9" i="13"/>
  <c r="AD11" i="13"/>
  <c r="AE11" i="13"/>
  <c r="AD12" i="13"/>
  <c r="AE12" i="13"/>
  <c r="AD13" i="13"/>
  <c r="AE13" i="13"/>
  <c r="AD14" i="13"/>
  <c r="AE14" i="13"/>
  <c r="AD15" i="13"/>
  <c r="AE15" i="13"/>
  <c r="AD16" i="13"/>
  <c r="AE16" i="13"/>
  <c r="AD17" i="13"/>
  <c r="AE17" i="13"/>
  <c r="AD19" i="13"/>
  <c r="AE19" i="13"/>
  <c r="AD20" i="13"/>
  <c r="AE20" i="13"/>
  <c r="AD21" i="13"/>
  <c r="AE21" i="13"/>
  <c r="AD22" i="13"/>
  <c r="AE22" i="13"/>
  <c r="AD23" i="13"/>
  <c r="AE23" i="13"/>
  <c r="AD24" i="13"/>
  <c r="AE24" i="13"/>
  <c r="AD25" i="13"/>
  <c r="AE25" i="13"/>
  <c r="AD30" i="13"/>
  <c r="AE30" i="13"/>
  <c r="AD31" i="13"/>
  <c r="AE31" i="13"/>
  <c r="AD32" i="13"/>
  <c r="AE32" i="13"/>
  <c r="AD33" i="13"/>
  <c r="AE33" i="13"/>
  <c r="AD34" i="13"/>
  <c r="AE34" i="13"/>
  <c r="AD35" i="13"/>
  <c r="AE35" i="13"/>
  <c r="AD36" i="13"/>
  <c r="AE36" i="13"/>
  <c r="AD37" i="13"/>
  <c r="AE37" i="13"/>
  <c r="AD41" i="13"/>
  <c r="AE41" i="13"/>
  <c r="AD42" i="13"/>
  <c r="AE42" i="13"/>
  <c r="AD43" i="13"/>
  <c r="AE43" i="13"/>
  <c r="AD44" i="13"/>
  <c r="AE44" i="13"/>
  <c r="AD45" i="13"/>
  <c r="AE45" i="13"/>
  <c r="AD46" i="13"/>
  <c r="AE46" i="13"/>
  <c r="AD47" i="13"/>
  <c r="AE47" i="13"/>
  <c r="AE5" i="13"/>
  <c r="AD5" i="13"/>
  <c r="AB11" i="13"/>
  <c r="AB12" i="13"/>
  <c r="AB13" i="13"/>
  <c r="AB14" i="13"/>
  <c r="AB15" i="13"/>
  <c r="AB16" i="13"/>
  <c r="AB17" i="13"/>
  <c r="AB19" i="13"/>
  <c r="AB20" i="13"/>
  <c r="AB21" i="13"/>
  <c r="AB22" i="13"/>
  <c r="AB23" i="13"/>
  <c r="AB24" i="13"/>
  <c r="AB25" i="13"/>
  <c r="AB30" i="13"/>
  <c r="AB31" i="13"/>
  <c r="AB32" i="13"/>
  <c r="AB33" i="13"/>
  <c r="AB34" i="13"/>
  <c r="AB35" i="13"/>
  <c r="AB36" i="13"/>
  <c r="AB37" i="13"/>
  <c r="AB41" i="13"/>
  <c r="AB42" i="13"/>
  <c r="AB43" i="13"/>
  <c r="AB44" i="13"/>
  <c r="AB45" i="13"/>
  <c r="AB46" i="13"/>
  <c r="AB47" i="13"/>
  <c r="AB6" i="13"/>
  <c r="AB7" i="13"/>
  <c r="AB8" i="13"/>
  <c r="AB9" i="13"/>
  <c r="AB5" i="13"/>
  <c r="AE48" i="13" l="1"/>
  <c r="AD48" i="13"/>
  <c r="AB48" i="13"/>
  <c r="AF12" i="13"/>
  <c r="AF21" i="13"/>
  <c r="AF31" i="13"/>
  <c r="AF25" i="13"/>
  <c r="AF16" i="13"/>
  <c r="AF7" i="13"/>
  <c r="AF8" i="13"/>
  <c r="AF5" i="13"/>
  <c r="AF46" i="13"/>
  <c r="AF23" i="13"/>
  <c r="AF14" i="13"/>
  <c r="AF44" i="13"/>
  <c r="AF41" i="13"/>
  <c r="AF19" i="13"/>
  <c r="AF17" i="13"/>
  <c r="AF43" i="13"/>
  <c r="AF9" i="13"/>
  <c r="AF34" i="13"/>
  <c r="AF13" i="13"/>
  <c r="AF22" i="13"/>
  <c r="AF20" i="13"/>
  <c r="AF37" i="13"/>
  <c r="AF33" i="13"/>
  <c r="AF11" i="13"/>
  <c r="AF6" i="13"/>
  <c r="AF47" i="13"/>
  <c r="AF45" i="13"/>
  <c r="AF42" i="13"/>
  <c r="AF36" i="13"/>
  <c r="AF35" i="13"/>
  <c r="AF32" i="13"/>
  <c r="AF30" i="13"/>
  <c r="AF24" i="13"/>
  <c r="AF15" i="13"/>
  <c r="AF48" i="13" l="1"/>
  <c r="D42" i="5"/>
  <c r="D29" i="4" l="1"/>
  <c r="D30" i="4"/>
  <c r="D31" i="4"/>
  <c r="D32" i="4"/>
  <c r="D33" i="4"/>
  <c r="D34" i="4"/>
  <c r="D5" i="4"/>
  <c r="D6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5" i="4"/>
  <c r="D26" i="4"/>
  <c r="D35" i="4"/>
  <c r="D36" i="4"/>
  <c r="D37" i="4"/>
  <c r="D38" i="4"/>
  <c r="D4" i="4"/>
  <c r="G4" i="4" l="1"/>
  <c r="G6" i="4" s="1"/>
  <c r="E24" i="4" l="1"/>
  <c r="E4" i="4"/>
  <c r="E41" i="4"/>
  <c r="E46" i="4"/>
  <c r="E45" i="4"/>
  <c r="E44" i="4"/>
  <c r="E43" i="4"/>
  <c r="E47" i="4"/>
  <c r="E42" i="4"/>
  <c r="E25" i="4"/>
  <c r="E8" i="4"/>
  <c r="E26" i="4"/>
  <c r="E35" i="4"/>
  <c r="E32" i="4"/>
  <c r="E14" i="4"/>
  <c r="E38" i="4"/>
  <c r="E29" i="4"/>
  <c r="E34" i="4"/>
  <c r="E33" i="4"/>
  <c r="E12" i="4"/>
  <c r="E18" i="4"/>
  <c r="E17" i="4"/>
  <c r="E22" i="4"/>
  <c r="E31" i="4"/>
  <c r="E36" i="4"/>
  <c r="E23" i="4"/>
  <c r="E6" i="4"/>
  <c r="E20" i="4"/>
  <c r="E5" i="4"/>
  <c r="E15" i="4"/>
  <c r="E16" i="4"/>
  <c r="E11" i="4"/>
  <c r="E21" i="4"/>
  <c r="E30" i="4"/>
  <c r="E37" i="4"/>
  <c r="E7" i="4"/>
  <c r="E13" i="4"/>
  <c r="E19" i="4"/>
  <c r="P4" i="25"/>
  <c r="P38" i="25"/>
  <c r="T38" i="25"/>
  <c r="S4" i="25"/>
  <c r="S16" i="25"/>
  <c r="Q4" i="25"/>
  <c r="Q27" i="25"/>
  <c r="R4" i="25"/>
  <c r="R33" i="25"/>
  <c r="P24" i="25"/>
  <c r="T24" i="25"/>
  <c r="P34" i="25"/>
  <c r="T34" i="25"/>
  <c r="P16" i="25"/>
  <c r="T16" i="25"/>
  <c r="P26" i="25"/>
  <c r="T26" i="25"/>
  <c r="P15" i="25"/>
  <c r="T15" i="25"/>
  <c r="P31" i="25"/>
  <c r="T31" i="25"/>
  <c r="P12" i="25"/>
  <c r="T12" i="25"/>
  <c r="P36" i="25"/>
  <c r="T36" i="25"/>
  <c r="P17" i="25"/>
  <c r="T17" i="25"/>
  <c r="P8" i="25"/>
  <c r="T8" i="25"/>
  <c r="P10" i="25"/>
  <c r="T10" i="25"/>
  <c r="P35" i="25"/>
  <c r="T35" i="25"/>
  <c r="P11" i="25"/>
  <c r="T11" i="25"/>
  <c r="P27" i="25"/>
  <c r="T27" i="25"/>
  <c r="P30" i="25"/>
  <c r="T30" i="25"/>
  <c r="P29" i="25"/>
  <c r="T29" i="25"/>
  <c r="P6" i="25"/>
  <c r="T6" i="25"/>
  <c r="P18" i="25"/>
  <c r="T18" i="25"/>
  <c r="P46" i="25"/>
  <c r="T46" i="25"/>
  <c r="P42" i="25"/>
  <c r="T42" i="25"/>
  <c r="P23" i="25"/>
  <c r="T23" i="25"/>
  <c r="P43" i="25"/>
  <c r="T43" i="25"/>
  <c r="P20" i="25"/>
  <c r="T20" i="25"/>
  <c r="P33" i="25"/>
  <c r="T33" i="25"/>
  <c r="P44" i="25"/>
  <c r="T44" i="25"/>
  <c r="P41" i="25"/>
  <c r="T41" i="25"/>
  <c r="P25" i="25"/>
  <c r="T25" i="25"/>
  <c r="P32" i="25"/>
  <c r="T32" i="25"/>
  <c r="P7" i="25"/>
  <c r="T7" i="25"/>
  <c r="P5" i="25"/>
  <c r="T5" i="25"/>
  <c r="P14" i="25"/>
  <c r="T14" i="25"/>
  <c r="P21" i="25"/>
  <c r="T21" i="25"/>
  <c r="P40" i="25"/>
  <c r="T40" i="25"/>
  <c r="P37" i="25"/>
  <c r="T37" i="25"/>
  <c r="P22" i="25"/>
  <c r="T22" i="25"/>
  <c r="P13" i="25"/>
  <c r="T13" i="25"/>
  <c r="P19" i="25"/>
  <c r="T19" i="25"/>
  <c r="P45" i="25"/>
  <c r="T45" i="25"/>
  <c r="T4" i="25"/>
  <c r="P47" i="25"/>
  <c r="S12" i="25"/>
  <c r="S30" i="25"/>
  <c r="S37" i="25"/>
  <c r="S15" i="25"/>
  <c r="S25" i="25"/>
  <c r="S21" i="25"/>
  <c r="S5" i="25"/>
  <c r="S35" i="25"/>
  <c r="S29" i="25"/>
  <c r="S17" i="25"/>
  <c r="S40" i="25"/>
  <c r="S41" i="25"/>
  <c r="S14" i="25"/>
  <c r="S32" i="25"/>
  <c r="S22" i="25"/>
  <c r="S26" i="25"/>
  <c r="S20" i="25"/>
  <c r="S38" i="25"/>
  <c r="S18" i="25"/>
  <c r="S13" i="25"/>
  <c r="S33" i="25"/>
  <c r="S43" i="25"/>
  <c r="S6" i="25"/>
  <c r="S7" i="25"/>
  <c r="S42" i="25"/>
  <c r="S27" i="25"/>
  <c r="S23" i="25"/>
  <c r="S36" i="25"/>
  <c r="S46" i="25"/>
  <c r="S24" i="25"/>
  <c r="S10" i="25"/>
  <c r="S34" i="25"/>
  <c r="S8" i="25"/>
  <c r="S19" i="25"/>
  <c r="S44" i="25"/>
  <c r="S45" i="25"/>
  <c r="S31" i="25"/>
  <c r="S11" i="25"/>
  <c r="Q25" i="25"/>
  <c r="Q30" i="25"/>
  <c r="Q29" i="25"/>
  <c r="Q24" i="25"/>
  <c r="Q22" i="25"/>
  <c r="Q46" i="25"/>
  <c r="Q41" i="25"/>
  <c r="Q20" i="25"/>
  <c r="Q26" i="25"/>
  <c r="Q34" i="25"/>
  <c r="Q35" i="25"/>
  <c r="Q38" i="25"/>
  <c r="Q37" i="25"/>
  <c r="Q16" i="25"/>
  <c r="Q12" i="25"/>
  <c r="Q8" i="25"/>
  <c r="Q11" i="25"/>
  <c r="Q14" i="25"/>
  <c r="Q6" i="25"/>
  <c r="Q43" i="25"/>
  <c r="Q33" i="25"/>
  <c r="Q21" i="25"/>
  <c r="Q23" i="25"/>
  <c r="Q19" i="25"/>
  <c r="Q40" i="25"/>
  <c r="Q18" i="25"/>
  <c r="Q7" i="25"/>
  <c r="Q13" i="25"/>
  <c r="Q36" i="25"/>
  <c r="Q32" i="25"/>
  <c r="Q31" i="25"/>
  <c r="Q45" i="25"/>
  <c r="Q42" i="25"/>
  <c r="Q15" i="25"/>
  <c r="Q5" i="25"/>
  <c r="Q44" i="25"/>
  <c r="Q17" i="25"/>
  <c r="Q10" i="25"/>
  <c r="R30" i="25"/>
  <c r="R13" i="25"/>
  <c r="R37" i="25"/>
  <c r="R11" i="25"/>
  <c r="R32" i="25"/>
  <c r="R22" i="25"/>
  <c r="R38" i="25"/>
  <c r="R36" i="25"/>
  <c r="R45" i="25"/>
  <c r="R18" i="25"/>
  <c r="R29" i="25"/>
  <c r="R6" i="25"/>
  <c r="R15" i="25"/>
  <c r="R42" i="25"/>
  <c r="R34" i="25"/>
  <c r="R10" i="25"/>
  <c r="R46" i="25"/>
  <c r="R16" i="25"/>
  <c r="R19" i="25"/>
  <c r="R5" i="25"/>
  <c r="R12" i="25"/>
  <c r="R31" i="25"/>
  <c r="R8" i="25"/>
  <c r="R7" i="25"/>
  <c r="R17" i="25"/>
  <c r="R44" i="25"/>
  <c r="R21" i="25"/>
  <c r="R41" i="25"/>
  <c r="R14" i="25"/>
  <c r="R40" i="25"/>
  <c r="R43" i="25"/>
  <c r="R24" i="25"/>
  <c r="R27" i="25"/>
  <c r="R25" i="25"/>
  <c r="R20" i="25"/>
  <c r="R26" i="25"/>
  <c r="R35" i="25"/>
  <c r="R23" i="25"/>
</calcChain>
</file>

<file path=xl/sharedStrings.xml><?xml version="1.0" encoding="utf-8"?>
<sst xmlns="http://schemas.openxmlformats.org/spreadsheetml/2006/main" count="1157" uniqueCount="210">
  <si>
    <t>ESFM "SIMON BOLIVAR" CORORO</t>
  </si>
  <si>
    <t>PERSONAL DIRECTIVO</t>
  </si>
  <si>
    <t>N°</t>
  </si>
  <si>
    <t>APELLIDOS Y NOMBRES</t>
  </si>
  <si>
    <t>N° C.I</t>
  </si>
  <si>
    <t>CARGO</t>
  </si>
  <si>
    <t>N° CELULAR</t>
  </si>
  <si>
    <t xml:space="preserve">DIRECTOR GENERAL </t>
  </si>
  <si>
    <t xml:space="preserve">CALLAPA CRUZ ARMIN </t>
  </si>
  <si>
    <t>DURAN LOMAR ALBERTO</t>
  </si>
  <si>
    <t>ASESOR LEGAL</t>
  </si>
  <si>
    <t>PERSONAL DOCENTE</t>
  </si>
  <si>
    <t>RAMIREZ FERNANDEZ NANCY</t>
  </si>
  <si>
    <t>DOCENTE DE LENGUA ORIGINARIA</t>
  </si>
  <si>
    <t>MORENO ESCOBAR GLADYS MARIA</t>
  </si>
  <si>
    <t>MEDRANO QUISPE RUTH ELIZABETH</t>
  </si>
  <si>
    <t>DOCENTE INTERPRETE</t>
  </si>
  <si>
    <t>PERSONAL ADMINISTRATIVO</t>
  </si>
  <si>
    <t xml:space="preserve">SENO ALDANA TEOFILO JORGE </t>
  </si>
  <si>
    <t>PEREZ GUERRA CARLOS MANUEL</t>
  </si>
  <si>
    <t>PERSONAL DE SERVICIO</t>
  </si>
  <si>
    <t>CALDERON CASTELLON FERNANDO</t>
  </si>
  <si>
    <t xml:space="preserve">MENDOZA FERNANDEZ ALBERTO </t>
  </si>
  <si>
    <t>FERNANDEZ VELA JUAN</t>
  </si>
  <si>
    <t>PANTOJA ARANCIBIA JUSTINO</t>
  </si>
  <si>
    <t>MARTINEZ ORTIZ EUGENIA</t>
  </si>
  <si>
    <t>FLORES CARRILLO SEVERINA</t>
  </si>
  <si>
    <t>HUARACHI CHUMACERO RODOLFO</t>
  </si>
  <si>
    <t>FRIAS VALLEJOS RAMIRO ALEX</t>
  </si>
  <si>
    <t>RIVERA QUISPE MARY ROSA DEL CARMEN</t>
  </si>
  <si>
    <t>SAAVEDRA SALAZAR DIEGO</t>
  </si>
  <si>
    <t>ILAFAYA CORONADO CLAUDIA</t>
  </si>
  <si>
    <t>SALVADOR QUISPE DELFIN</t>
  </si>
  <si>
    <t>ARIAS CAYO ZULMA ABIGAIL</t>
  </si>
  <si>
    <t>DOCENTE - RESPONSABLE BIENTESTAR ESTUDIANTIL</t>
  </si>
  <si>
    <t xml:space="preserve">QUISPE RICALDE SAUL </t>
  </si>
  <si>
    <t>ESPADA ARAMAYO LIZBETH CRISTEL</t>
  </si>
  <si>
    <t>ESPINOZA MAYGUA DIVINA</t>
  </si>
  <si>
    <t>YUCRA CRUZ SATURNINA</t>
  </si>
  <si>
    <t>TORRES ORTUÑO PAMELA</t>
  </si>
  <si>
    <t>CALLE REQUENA GUILLERMINA LUZ</t>
  </si>
  <si>
    <t>TARDIO CONDORI MARIBEL</t>
  </si>
  <si>
    <t>GRAZ NUÑEZ REYNA MARTHA</t>
  </si>
  <si>
    <t>DOCENTE LENGUA EXTRANJERA (INGLES)</t>
  </si>
  <si>
    <t>FIRMA DE INICIO</t>
  </si>
  <si>
    <t>FIRMA DE FINALIZACIÓN</t>
  </si>
  <si>
    <t>DOCENTE</t>
  </si>
  <si>
    <t>SERVICIO</t>
  </si>
  <si>
    <t>DIRECTIVO</t>
  </si>
  <si>
    <t>QUISPE OLMEDO LEONARDO ARIEL</t>
  </si>
  <si>
    <t>MONTO DE CUOTA</t>
  </si>
  <si>
    <t>H/P</t>
  </si>
  <si>
    <t>A</t>
  </si>
  <si>
    <t>H/P TOTAL</t>
  </si>
  <si>
    <t>MONTO</t>
  </si>
  <si>
    <t>ADMINISTRATIVO</t>
  </si>
  <si>
    <t>FIRMA DE CANCELACIÓN</t>
  </si>
  <si>
    <t>#</t>
  </si>
  <si>
    <t>NOMBRES Y APELLIDOS</t>
  </si>
  <si>
    <t>APORTES</t>
  </si>
  <si>
    <t>Fecha:___/___/_____</t>
  </si>
  <si>
    <t>Motivo: __________________________________</t>
  </si>
  <si>
    <t>COMISIÓN</t>
  </si>
  <si>
    <t>HORA</t>
  </si>
  <si>
    <t>SOLIZ RENGIFO CESAR</t>
  </si>
  <si>
    <t>CHAVEZ ZEBALLOS ELIZABETH</t>
  </si>
  <si>
    <t>SECRETARIA DE DIRECCIÓN ACADEMICA</t>
  </si>
  <si>
    <t>VILLARPANDO MAMANI ALISON</t>
  </si>
  <si>
    <t>FUERTES ROMERO NICANOR</t>
  </si>
  <si>
    <t>UYUQUIPA FAJARDO JORGE</t>
  </si>
  <si>
    <t>. CASTELLON MARLENE</t>
  </si>
  <si>
    <t>F</t>
  </si>
  <si>
    <t>TOTAL</t>
  </si>
  <si>
    <t>P</t>
  </si>
  <si>
    <t>INICIAL 2</t>
  </si>
  <si>
    <t>INICIAL 3</t>
  </si>
  <si>
    <t>TOCO BERNAL FRANZ EDEL</t>
  </si>
  <si>
    <t>. HEREDIA RAMIRO</t>
  </si>
  <si>
    <t>. ESPINOZA RUTH PAMELA</t>
  </si>
  <si>
    <t>L</t>
  </si>
  <si>
    <t>FECHA DE ACTIVIDAD O REUNIÓN</t>
  </si>
  <si>
    <t>T</t>
  </si>
  <si>
    <t>PRESENTE</t>
  </si>
  <si>
    <t>LICENCIA</t>
  </si>
  <si>
    <t>FALTA</t>
  </si>
  <si>
    <t>ATRASO</t>
  </si>
  <si>
    <t>ESPECIALIDAD</t>
  </si>
  <si>
    <t>PROPUESTA 1</t>
  </si>
  <si>
    <t>PROPUESTA 2</t>
  </si>
  <si>
    <t>MONTO/CUOTA</t>
  </si>
  <si>
    <t>De bs.</t>
  </si>
  <si>
    <t>A bs.</t>
  </si>
  <si>
    <t>Clasif.</t>
  </si>
  <si>
    <t>PROPUESTA 3</t>
  </si>
  <si>
    <t>Planilla de Asistencia</t>
  </si>
  <si>
    <t>PLANILLA DE ASISTENCIA</t>
  </si>
  <si>
    <t>MEM</t>
  </si>
  <si>
    <t>DJ</t>
  </si>
  <si>
    <t>TÉCNICO DE SISTEMAS Y SOPORTE INFORMÁTICO</t>
  </si>
  <si>
    <t>RODAS VASQUEZ ARNULFO</t>
  </si>
  <si>
    <t xml:space="preserve">MACHACA MOLLO ELVIS JHONATHAN </t>
  </si>
  <si>
    <t>RAMOS SANCHEZ DELFIN</t>
  </si>
  <si>
    <t>QUISPE LEVA TEODORO</t>
  </si>
  <si>
    <t>Lunes, 24/02/2025</t>
  </si>
  <si>
    <t>Miercoles, 25/02/2025</t>
  </si>
  <si>
    <t>FIRMA DE ASISTENCIA</t>
  </si>
  <si>
    <t>AÑO DE FORMACIÓN</t>
  </si>
  <si>
    <t>CEFOMB</t>
  </si>
  <si>
    <t>FEFOM</t>
  </si>
  <si>
    <t>PRIMARIA 1RO</t>
  </si>
  <si>
    <t>PRIMARIA 2DO</t>
  </si>
  <si>
    <t>PRIMARIA 3RO</t>
  </si>
  <si>
    <t>PRIMARIA 4TO</t>
  </si>
  <si>
    <t>PRIMARIA 5TO</t>
  </si>
  <si>
    <t>INICIAL 3RO</t>
  </si>
  <si>
    <t>INICIAL 4TO</t>
  </si>
  <si>
    <t>INICIAL 5TO</t>
  </si>
  <si>
    <t>ARTES 1RO</t>
  </si>
  <si>
    <t>ARTES 2DO</t>
  </si>
  <si>
    <t>MATEMATICA 1RO</t>
  </si>
  <si>
    <t>INICIAL 1</t>
  </si>
  <si>
    <t>CULTURA</t>
  </si>
  <si>
    <t>MENDOZA MOYA YOLANDA</t>
  </si>
  <si>
    <t>SOCIAL</t>
  </si>
  <si>
    <t>INVESTIGACION</t>
  </si>
  <si>
    <t>ECONOMICA</t>
  </si>
  <si>
    <t>DISCIPLINA</t>
  </si>
  <si>
    <t>DEPORTE</t>
  </si>
  <si>
    <t>Actividad: REUNIÓN INSTITUCIONAL
Fecha: miercoles, 25 de febrero de 2025   Hora: 15:30 - SOLO ESTUDIANTES</t>
  </si>
  <si>
    <t>RESPONSABLE DE PRESUPUESTO Y CONTABILIDAD</t>
  </si>
  <si>
    <t>RESPONSABLE DE KARDEX Y SISTEMAS</t>
  </si>
  <si>
    <t>TÉCNICO DE BIBLIOTECA</t>
  </si>
  <si>
    <t>RESPONSABLE DE BIENES Y SERVICIOS</t>
  </si>
  <si>
    <t>AREA PRODUCTIVA</t>
  </si>
  <si>
    <t>SECRETARIA DAF</t>
  </si>
  <si>
    <t>SALUD PREVENTIVA</t>
  </si>
  <si>
    <t>A2</t>
  </si>
  <si>
    <t>___</t>
  </si>
  <si>
    <t>___2</t>
  </si>
  <si>
    <t>___3</t>
  </si>
  <si>
    <t>___4</t>
  </si>
  <si>
    <t>___5</t>
  </si>
  <si>
    <t>___12</t>
  </si>
  <si>
    <t>___13</t>
  </si>
  <si>
    <t>___14</t>
  </si>
  <si>
    <t>___15</t>
  </si>
  <si>
    <t>___122</t>
  </si>
  <si>
    <t>___123</t>
  </si>
  <si>
    <t>___124</t>
  </si>
  <si>
    <t>___125</t>
  </si>
  <si>
    <t>DOCENTE AREA PRODUCTIVA</t>
  </si>
  <si>
    <t>COMISIONES INTERNAS 2025</t>
  </si>
  <si>
    <t xml:space="preserve">   </t>
  </si>
  <si>
    <t>LEON PERALTA ELSA NOEMI</t>
  </si>
  <si>
    <t xml:space="preserve">MOREIRA MAMANI JHENNY MARIELA </t>
  </si>
  <si>
    <t>MOREIRA MAMANI JHENNY MARIELA</t>
  </si>
  <si>
    <t xml:space="preserve">DOCENTE DE INICIAL </t>
  </si>
  <si>
    <t>FECHA</t>
  </si>
  <si>
    <t>E</t>
  </si>
  <si>
    <t>EE</t>
  </si>
  <si>
    <t>D</t>
  </si>
  <si>
    <t>M</t>
  </si>
  <si>
    <t>FECHAS DE NACIMIENTO</t>
  </si>
  <si>
    <t>OBSERVACIÓN</t>
  </si>
  <si>
    <t>SECRETARIO DE DIRECCIÓN GENERAL</t>
  </si>
  <si>
    <t>SECRETARIO DE DIRECCIÓN ADMINSITRATIVA FINANCIERA</t>
  </si>
  <si>
    <t>RESPONSABLE DE SALUD PREVENTIVA</t>
  </si>
  <si>
    <t>TECNICO CAJERA</t>
  </si>
  <si>
    <t>COORDINADOR ACADEMICO IEPC - PEC</t>
  </si>
  <si>
    <t>Martes, 6/5/2025</t>
  </si>
  <si>
    <t>INGLES 2DO</t>
  </si>
  <si>
    <t>miercoles, 13/5/2025</t>
  </si>
  <si>
    <t>ORDOÑEZ ACEBO ELIAS JUSTO</t>
  </si>
  <si>
    <t>AMAZONICO</t>
  </si>
  <si>
    <t>CHAQUEÑO</t>
  </si>
  <si>
    <t>ANDINO</t>
  </si>
  <si>
    <t>REGIÓN</t>
  </si>
  <si>
    <t>AÑO NUEVO ANDINO AMAZONICO CHAQUEÑO 5533</t>
  </si>
  <si>
    <t>RESPONSABLE</t>
  </si>
  <si>
    <t>RESPONSABLES</t>
  </si>
  <si>
    <t>NOMINA DE ASISTENTES A LA CUMBRE EDUCATIVA - CORORO</t>
  </si>
  <si>
    <t>ESTUDIANTES</t>
  </si>
  <si>
    <t>CHAMPI CONDORI SAUL</t>
  </si>
  <si>
    <t>BENEGAS IRIARTE ERWIN</t>
  </si>
  <si>
    <t>SAAVEDRA PORCEL WILLIAM</t>
  </si>
  <si>
    <t>QUISPE CHURA LIZETH KAREN</t>
  </si>
  <si>
    <t>ORTEGA RODRIGUEZ ZROBERTO</t>
  </si>
  <si>
    <t>NOMBRE DE ESTUDIANTES/FEFOM O CURSO</t>
  </si>
  <si>
    <r>
      <t xml:space="preserve">Actividad: </t>
    </r>
    <r>
      <rPr>
        <u/>
        <sz val="14"/>
        <color theme="1"/>
        <rFont val="Century Gothic"/>
        <family val="2"/>
      </rPr>
      <t>SOCIALIZACIÓN DE PROPUESTAS EN PLENARIA DE DOCUMENTOS NORMATIVOS Y CURRICULARES PARA LAS ESFM/UA</t>
    </r>
    <r>
      <rPr>
        <b/>
        <sz val="14"/>
        <color theme="1"/>
        <rFont val="Century Gothic"/>
        <family val="2"/>
      </rPr>
      <t xml:space="preserve">
Fecha: </t>
    </r>
    <r>
      <rPr>
        <u/>
        <sz val="14"/>
        <color theme="1"/>
        <rFont val="Century Gothic"/>
        <family val="2"/>
      </rPr>
      <t>23 de julio de 2025</t>
    </r>
    <r>
      <rPr>
        <b/>
        <sz val="14"/>
        <color theme="1"/>
        <rFont val="Century Gothic"/>
        <family val="2"/>
      </rPr>
      <t xml:space="preserve">   Hora: </t>
    </r>
    <r>
      <rPr>
        <u/>
        <sz val="14"/>
        <color theme="1"/>
        <rFont val="Century Gothic"/>
        <family val="2"/>
      </rPr>
      <t>14:00</t>
    </r>
  </si>
  <si>
    <t>DOCENTE DE MATEMÁTICA</t>
  </si>
  <si>
    <t>DOCENTE DE EDUCACIÓN PRIMARIA COMUNITARIA VOCACIONAL</t>
  </si>
  <si>
    <t>DIRECTOR ACADÉMICO</t>
  </si>
  <si>
    <t>DIRECTORA ADMINISTRATIVA FINANCIERA</t>
  </si>
  <si>
    <t>DOCENTE DE ARTES PLÁSTICAS Y VISUALES</t>
  </si>
  <si>
    <t>DOCENTE DE EDUCACIÓN INICIAL EN FAMILIA COMUNITARIA</t>
  </si>
  <si>
    <t>DOCENTE DE ÁREA PRODUCTIVA</t>
  </si>
  <si>
    <t>DOCENTE DE INVESTIGACIÓN</t>
  </si>
  <si>
    <t>SERVICIOS MÚLTIPLES</t>
  </si>
  <si>
    <t>PORTERO</t>
  </si>
  <si>
    <t>COCINERA</t>
  </si>
  <si>
    <t>ESPINOZA RUTH PAMELA</t>
  </si>
  <si>
    <t>CASTELLON MARLENE</t>
  </si>
  <si>
    <t>ZAMBRANA QUIÑONES SANDRA</t>
  </si>
  <si>
    <t>TERRAZAS VELASQUEZ RAUL</t>
  </si>
  <si>
    <t>ALVAREZ DORYS MABEL</t>
  </si>
  <si>
    <t>SEGOVIA CRUZ GISELLE TIFFANI</t>
  </si>
  <si>
    <t>VACA CONCHERI EMELIT</t>
  </si>
  <si>
    <t>DURAN RADA DIRZA XIMENA</t>
  </si>
  <si>
    <t>CAMAARGO MARCA EDWARD</t>
  </si>
  <si>
    <t>CARDENAS ZARATE CLAUDIA VANESA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</si>
</sst>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sz val="11"/>
      <color theme="1"/>
      <name val="Century Gothic"/>
      <family val="2"/>
    </font>
    <font>
      <b/>
      <u/>
      <sz val="18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 tint="4.9989318521683403E-2"/>
      <name val="Calibri Light"/>
      <family val="2"/>
      <scheme val="major"/>
    </font>
    <font>
      <b/>
      <sz val="12"/>
      <name val="Century Gothic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4"/>
      <color theme="1"/>
      <name val="Century Gothic"/>
      <family val="2"/>
    </font>
    <font>
      <sz val="14"/>
      <color theme="1"/>
      <name val="Batang"/>
      <family val="1"/>
    </font>
    <font>
      <b/>
      <sz val="14"/>
      <color theme="1"/>
      <name val="Batang"/>
      <family val="1"/>
    </font>
    <font>
      <sz val="14"/>
      <name val="Batang"/>
      <family val="1"/>
    </font>
    <font>
      <sz val="14"/>
      <color rgb="FF000000"/>
      <name val="Batang"/>
      <family val="1"/>
    </font>
    <font>
      <b/>
      <sz val="16"/>
      <color theme="1"/>
      <name val="Batang"/>
      <family val="1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 wrapText="1"/>
    </xf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vertical="center" wrapText="1"/>
    </xf>
    <xf numFmtId="0" fontId="18" fillId="0" borderId="4" xfId="0" applyFont="1" applyBorder="1"/>
    <xf numFmtId="0" fontId="20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8" fillId="3" borderId="4" xfId="0" applyFont="1" applyFill="1" applyBorder="1" applyAlignment="1">
      <alignment horizontal="center"/>
    </xf>
    <xf numFmtId="0" fontId="18" fillId="3" borderId="4" xfId="0" applyFont="1" applyFill="1" applyBorder="1"/>
    <xf numFmtId="0" fontId="0" fillId="2" borderId="4" xfId="0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8" fillId="0" borderId="0" xfId="0" applyFont="1"/>
    <xf numFmtId="0" fontId="16" fillId="3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6" fillId="9" borderId="4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vertical="center"/>
    </xf>
    <xf numFmtId="0" fontId="15" fillId="9" borderId="4" xfId="0" applyFont="1" applyFill="1" applyBorder="1" applyAlignment="1">
      <alignment vertical="center" wrapText="1"/>
    </xf>
    <xf numFmtId="0" fontId="15" fillId="9" borderId="4" xfId="0" applyFont="1" applyFill="1" applyBorder="1" applyAlignment="1">
      <alignment vertical="center"/>
    </xf>
    <xf numFmtId="0" fontId="22" fillId="9" borderId="4" xfId="0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vertical="center"/>
    </xf>
    <xf numFmtId="0" fontId="24" fillId="0" borderId="4" xfId="0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/>
    </xf>
    <xf numFmtId="0" fontId="16" fillId="10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16" fillId="11" borderId="4" xfId="0" applyFont="1" applyFill="1" applyBorder="1" applyAlignment="1">
      <alignment horizontal="left" vertical="center"/>
    </xf>
    <xf numFmtId="0" fontId="15" fillId="11" borderId="4" xfId="0" applyFont="1" applyFill="1" applyBorder="1" applyAlignment="1">
      <alignment horizontal="left" vertical="center"/>
    </xf>
    <xf numFmtId="0" fontId="14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left" vertical="center"/>
    </xf>
    <xf numFmtId="0" fontId="14" fillId="10" borderId="12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left" vertical="center"/>
    </xf>
    <xf numFmtId="0" fontId="14" fillId="5" borderId="6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left" vertical="center"/>
    </xf>
    <xf numFmtId="0" fontId="14" fillId="11" borderId="9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left" vertical="center"/>
    </xf>
    <xf numFmtId="0" fontId="14" fillId="11" borderId="12" xfId="0" applyFont="1" applyFill="1" applyBorder="1" applyAlignment="1">
      <alignment horizontal="center" vertical="center"/>
    </xf>
    <xf numFmtId="0" fontId="14" fillId="11" borderId="14" xfId="0" applyFont="1" applyFill="1" applyBorder="1" applyAlignment="1">
      <alignment horizontal="center" vertical="center"/>
    </xf>
    <xf numFmtId="0" fontId="16" fillId="11" borderId="15" xfId="0" applyFont="1" applyFill="1" applyBorder="1" applyAlignment="1">
      <alignment horizontal="left" vertical="center"/>
    </xf>
    <xf numFmtId="0" fontId="18" fillId="5" borderId="4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11" borderId="10" xfId="0" applyFont="1" applyFill="1" applyBorder="1" applyAlignment="1">
      <alignment horizontal="center"/>
    </xf>
    <xf numFmtId="0" fontId="18" fillId="11" borderId="11" xfId="0" applyFont="1" applyFill="1" applyBorder="1" applyAlignment="1">
      <alignment horizontal="center"/>
    </xf>
    <xf numFmtId="0" fontId="18" fillId="11" borderId="4" xfId="0" applyFont="1" applyFill="1" applyBorder="1" applyAlignment="1">
      <alignment horizontal="center"/>
    </xf>
    <xf numFmtId="0" fontId="18" fillId="11" borderId="13" xfId="0" applyFont="1" applyFill="1" applyBorder="1" applyAlignment="1">
      <alignment horizontal="center"/>
    </xf>
    <xf numFmtId="0" fontId="18" fillId="11" borderId="15" xfId="0" applyFont="1" applyFill="1" applyBorder="1" applyAlignment="1">
      <alignment horizontal="center"/>
    </xf>
    <xf numFmtId="0" fontId="18" fillId="11" borderId="16" xfId="0" applyFont="1" applyFill="1" applyBorder="1" applyAlignment="1">
      <alignment horizontal="center"/>
    </xf>
    <xf numFmtId="0" fontId="18" fillId="10" borderId="10" xfId="0" applyFont="1" applyFill="1" applyBorder="1" applyAlignment="1">
      <alignment horizontal="center"/>
    </xf>
    <xf numFmtId="0" fontId="18" fillId="10" borderId="4" xfId="0" applyFont="1" applyFill="1" applyBorder="1" applyAlignment="1">
      <alignment horizontal="center"/>
    </xf>
    <xf numFmtId="0" fontId="18" fillId="10" borderId="15" xfId="0" applyFont="1" applyFill="1" applyBorder="1" applyAlignment="1">
      <alignment horizontal="center"/>
    </xf>
    <xf numFmtId="0" fontId="18" fillId="10" borderId="1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vertical="center"/>
    </xf>
    <xf numFmtId="0" fontId="29" fillId="0" borderId="4" xfId="0" applyFont="1" applyBorder="1" applyAlignment="1">
      <alignment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vertical="center" wrapText="1"/>
    </xf>
    <xf numFmtId="0" fontId="26" fillId="0" borderId="0" xfId="0" applyFont="1"/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/>
    </xf>
    <xf numFmtId="14" fontId="23" fillId="3" borderId="0" xfId="0" applyNumberFormat="1" applyFont="1" applyFill="1" applyAlignment="1">
      <alignment horizontal="center" vertical="center"/>
    </xf>
    <xf numFmtId="0" fontId="0" fillId="3" borderId="0" xfId="0" applyFill="1"/>
    <xf numFmtId="14" fontId="0" fillId="3" borderId="4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1" fillId="0" borderId="0" xfId="0" applyFont="1"/>
    <xf numFmtId="0" fontId="31" fillId="0" borderId="4" xfId="0" applyFont="1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1" fillId="0" borderId="19" xfId="0" applyFont="1" applyBorder="1" applyAlignment="1">
      <alignment vertical="center"/>
    </xf>
    <xf numFmtId="0" fontId="31" fillId="2" borderId="4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left" vertical="center"/>
    </xf>
    <xf numFmtId="0" fontId="31" fillId="3" borderId="6" xfId="0" applyFont="1" applyFill="1" applyBorder="1" applyAlignment="1">
      <alignment horizontal="center" vertical="center"/>
    </xf>
    <xf numFmtId="0" fontId="32" fillId="3" borderId="6" xfId="0" applyFont="1" applyFill="1" applyBorder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33" fillId="3" borderId="4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3" borderId="4" xfId="0" applyFont="1" applyFill="1" applyBorder="1" applyAlignment="1">
      <alignment vertical="center"/>
    </xf>
    <xf numFmtId="0" fontId="32" fillId="3" borderId="4" xfId="0" applyFont="1" applyFill="1" applyBorder="1" applyAlignment="1">
      <alignment vertical="center"/>
    </xf>
    <xf numFmtId="0" fontId="32" fillId="3" borderId="6" xfId="0" applyFont="1" applyFill="1" applyBorder="1" applyAlignment="1">
      <alignment horizontal="left" vertical="center"/>
    </xf>
    <xf numFmtId="0" fontId="31" fillId="0" borderId="6" xfId="0" applyFont="1" applyBorder="1" applyAlignment="1">
      <alignment horizontal="center" vertical="center" wrapText="1"/>
    </xf>
    <xf numFmtId="0" fontId="31" fillId="3" borderId="4" xfId="0" applyFont="1" applyFill="1" applyBorder="1" applyAlignment="1">
      <alignment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3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40"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FF33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3:T46" totalsRowShown="0" headerRowDxfId="39" dataDxfId="37" headerRowBorderDxfId="38" tableBorderDxfId="36" totalsRowBorderDxfId="35">
  <autoFilter ref="A3:T46" xr:uid="{00000000-0009-0000-0100-000003000000}"/>
  <tableColumns count="20">
    <tableColumn id="1" xr3:uid="{00000000-0010-0000-0000-000001000000}" name="N°" dataDxfId="34"/>
    <tableColumn id="2" xr3:uid="{00000000-0010-0000-0000-000002000000}" name="APELLIDOS Y NOMBRES" dataDxfId="33"/>
    <tableColumn id="3" xr3:uid="{00000000-0010-0000-0000-000003000000}" name="___" dataDxfId="32"/>
    <tableColumn id="4" xr3:uid="{00000000-0010-0000-0000-000004000000}" name="___2" dataDxfId="31"/>
    <tableColumn id="5" xr3:uid="{00000000-0010-0000-0000-000005000000}" name="___3" dataDxfId="30"/>
    <tableColumn id="6" xr3:uid="{00000000-0010-0000-0000-000006000000}" name="___4" dataDxfId="29"/>
    <tableColumn id="7" xr3:uid="{00000000-0010-0000-0000-000007000000}" name="___5" dataDxfId="28"/>
    <tableColumn id="14" xr3:uid="{00000000-0010-0000-0000-00000E000000}" name="___12" dataDxfId="27"/>
    <tableColumn id="26" xr3:uid="{00000000-0010-0000-0000-00001A000000}" name="___125" dataDxfId="26"/>
    <tableColumn id="25" xr3:uid="{00000000-0010-0000-0000-000019000000}" name="___124" dataDxfId="25"/>
    <tableColumn id="24" xr3:uid="{00000000-0010-0000-0000-000018000000}" name="___123" dataDxfId="24"/>
    <tableColumn id="23" xr3:uid="{00000000-0010-0000-0000-000017000000}" name="___122" dataDxfId="23"/>
    <tableColumn id="15" xr3:uid="{00000000-0010-0000-0000-00000F000000}" name="___13" dataDxfId="22"/>
    <tableColumn id="16" xr3:uid="{00000000-0010-0000-0000-000010000000}" name="___14" dataDxfId="21"/>
    <tableColumn id="17" xr3:uid="{00000000-0010-0000-0000-000011000000}" name="___15" dataDxfId="20"/>
    <tableColumn id="18" xr3:uid="{00000000-0010-0000-0000-000012000000}" name="P" dataDxfId="19">
      <calculatedColumnFormula>COUNTIF(C4:O4,$P$4)</calculatedColumnFormula>
    </tableColumn>
    <tableColumn id="19" xr3:uid="{00000000-0010-0000-0000-000013000000}" name="A2" dataDxfId="18">
      <calculatedColumnFormula>COUNTIF(C4:O4,$Q$4)</calculatedColumnFormula>
    </tableColumn>
    <tableColumn id="20" xr3:uid="{00000000-0010-0000-0000-000014000000}" name="L" dataDxfId="17">
      <calculatedColumnFormula>COUNTIF(C4:O4,$R$4)</calculatedColumnFormula>
    </tableColumn>
    <tableColumn id="21" xr3:uid="{00000000-0010-0000-0000-000015000000}" name="F" dataDxfId="16">
      <calculatedColumnFormula>COUNTIF(C4:O4,$S$4)</calculatedColumnFormula>
    </tableColumn>
    <tableColumn id="22" xr3:uid="{00000000-0010-0000-0000-000016000000}" name="T" dataDxfId="15">
      <calculatedColumnFormula>SUM(P4:S4)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H47"/>
  <sheetViews>
    <sheetView tabSelected="1" topLeftCell="B14" zoomScale="98" zoomScaleNormal="98" workbookViewId="0">
      <selection activeCell="B26" sqref="B26"/>
    </sheetView>
  </sheetViews>
  <sheetFormatPr baseColWidth="10" defaultRowHeight="15.75" x14ac:dyDescent="0.25"/>
  <cols>
    <col min="1" max="1" width="3.5703125" style="144" hidden="1" customWidth="1"/>
    <col min="2" max="2" width="3.5703125" style="144" customWidth="1"/>
    <col min="3" max="3" width="41" style="144" bestFit="1" customWidth="1"/>
    <col min="4" max="4" width="12.28515625" style="144" bestFit="1" customWidth="1"/>
    <col min="5" max="5" width="65.140625" style="144" bestFit="1" customWidth="1"/>
    <col min="6" max="6" width="13.85546875" style="144" bestFit="1" customWidth="1"/>
    <col min="7" max="7" width="11.42578125" style="144"/>
    <col min="8" max="8" width="2.28515625" style="144" bestFit="1" customWidth="1"/>
    <col min="9" max="16384" width="11.42578125" style="144"/>
  </cols>
  <sheetData>
    <row r="1" spans="1:6" hidden="1" x14ac:dyDescent="0.25">
      <c r="A1" s="167"/>
      <c r="B1" s="167"/>
      <c r="C1" s="167"/>
      <c r="D1" s="167"/>
      <c r="E1" s="167"/>
      <c r="F1" s="167"/>
    </row>
    <row r="2" spans="1:6" ht="39.75" customHeight="1" thickBot="1" x14ac:dyDescent="0.3">
      <c r="A2" s="166" t="s">
        <v>0</v>
      </c>
      <c r="B2" s="166"/>
      <c r="C2" s="166"/>
      <c r="D2" s="166"/>
      <c r="E2" s="166"/>
      <c r="F2" s="166"/>
    </row>
    <row r="3" spans="1:6" ht="16.5" thickTop="1" x14ac:dyDescent="0.25">
      <c r="A3" s="146" t="s">
        <v>1</v>
      </c>
      <c r="B3" s="147"/>
      <c r="C3" s="147"/>
      <c r="D3" s="147"/>
      <c r="E3" s="147"/>
      <c r="F3" s="148"/>
    </row>
    <row r="4" spans="1:6" x14ac:dyDescent="0.25">
      <c r="A4" s="149" t="s">
        <v>2</v>
      </c>
      <c r="B4" s="149" t="s">
        <v>2</v>
      </c>
      <c r="C4" s="149" t="s">
        <v>3</v>
      </c>
      <c r="D4" s="149" t="s">
        <v>4</v>
      </c>
      <c r="E4" s="149" t="s">
        <v>5</v>
      </c>
      <c r="F4" s="149" t="s">
        <v>6</v>
      </c>
    </row>
    <row r="5" spans="1:6" x14ac:dyDescent="0.25">
      <c r="A5" s="150">
        <v>1</v>
      </c>
      <c r="B5" s="150">
        <v>1</v>
      </c>
      <c r="C5" s="151" t="s">
        <v>35</v>
      </c>
      <c r="D5" s="150">
        <v>8550592</v>
      </c>
      <c r="E5" s="150" t="s">
        <v>7</v>
      </c>
      <c r="F5" s="150">
        <v>72868752</v>
      </c>
    </row>
    <row r="6" spans="1:6" x14ac:dyDescent="0.25">
      <c r="A6" s="150">
        <v>2</v>
      </c>
      <c r="B6" s="150">
        <v>2</v>
      </c>
      <c r="C6" s="152" t="s">
        <v>8</v>
      </c>
      <c r="D6" s="145">
        <v>5114078</v>
      </c>
      <c r="E6" s="145" t="s">
        <v>191</v>
      </c>
      <c r="F6" s="145">
        <v>72446018</v>
      </c>
    </row>
    <row r="7" spans="1:6" x14ac:dyDescent="0.25">
      <c r="A7" s="150">
        <v>3</v>
      </c>
      <c r="B7" s="150">
        <v>3</v>
      </c>
      <c r="C7" s="152" t="s">
        <v>36</v>
      </c>
      <c r="D7" s="145">
        <v>10422557</v>
      </c>
      <c r="E7" s="145" t="s">
        <v>192</v>
      </c>
      <c r="F7" s="145">
        <v>78680813</v>
      </c>
    </row>
    <row r="8" spans="1:6" x14ac:dyDescent="0.25">
      <c r="A8" s="150">
        <v>4</v>
      </c>
      <c r="B8" s="150">
        <v>4</v>
      </c>
      <c r="C8" s="152" t="s">
        <v>9</v>
      </c>
      <c r="D8" s="145">
        <v>5668698</v>
      </c>
      <c r="E8" s="145" t="s">
        <v>10</v>
      </c>
      <c r="F8" s="145">
        <v>70332321</v>
      </c>
    </row>
    <row r="9" spans="1:6" ht="16.5" thickBot="1" x14ac:dyDescent="0.3">
      <c r="A9" s="153">
        <v>5</v>
      </c>
      <c r="B9" s="153">
        <v>5</v>
      </c>
      <c r="C9" s="154" t="s">
        <v>30</v>
      </c>
      <c r="D9" s="155">
        <v>1096700</v>
      </c>
      <c r="E9" s="155" t="s">
        <v>168</v>
      </c>
      <c r="F9" s="153">
        <v>69609980</v>
      </c>
    </row>
    <row r="10" spans="1:6" ht="16.5" thickTop="1" x14ac:dyDescent="0.25">
      <c r="A10" s="146" t="s">
        <v>11</v>
      </c>
      <c r="B10" s="146" t="s">
        <v>11</v>
      </c>
      <c r="C10" s="147"/>
      <c r="D10" s="147"/>
      <c r="E10" s="147"/>
      <c r="F10" s="148"/>
    </row>
    <row r="11" spans="1:6" x14ac:dyDescent="0.25">
      <c r="A11" s="149" t="s">
        <v>2</v>
      </c>
      <c r="B11" s="149" t="s">
        <v>2</v>
      </c>
      <c r="C11" s="149" t="s">
        <v>3</v>
      </c>
      <c r="D11" s="149" t="s">
        <v>4</v>
      </c>
      <c r="E11" s="149" t="s">
        <v>5</v>
      </c>
      <c r="F11" s="149" t="s">
        <v>6</v>
      </c>
    </row>
    <row r="12" spans="1:6" x14ac:dyDescent="0.25">
      <c r="A12" s="150">
        <v>6</v>
      </c>
      <c r="B12" s="150">
        <v>1</v>
      </c>
      <c r="C12" s="152" t="s">
        <v>33</v>
      </c>
      <c r="D12" s="150">
        <v>6681389</v>
      </c>
      <c r="E12" s="145" t="s">
        <v>34</v>
      </c>
      <c r="F12" s="150">
        <v>73607386</v>
      </c>
    </row>
    <row r="13" spans="1:6" x14ac:dyDescent="0.25">
      <c r="A13" s="150">
        <v>7</v>
      </c>
      <c r="B13" s="150">
        <v>2</v>
      </c>
      <c r="C13" s="152" t="s">
        <v>40</v>
      </c>
      <c r="D13" s="150">
        <v>3093595</v>
      </c>
      <c r="E13" s="145" t="s">
        <v>43</v>
      </c>
      <c r="F13" s="150">
        <v>71888867</v>
      </c>
    </row>
    <row r="14" spans="1:6" x14ac:dyDescent="0.25">
      <c r="A14" s="150">
        <v>8</v>
      </c>
      <c r="B14" s="150">
        <v>3</v>
      </c>
      <c r="C14" s="156" t="s">
        <v>31</v>
      </c>
      <c r="D14" s="157">
        <v>5669075</v>
      </c>
      <c r="E14" s="145" t="s">
        <v>190</v>
      </c>
      <c r="F14" s="157">
        <v>73440745</v>
      </c>
    </row>
    <row r="15" spans="1:6" x14ac:dyDescent="0.25">
      <c r="A15" s="150">
        <v>9</v>
      </c>
      <c r="B15" s="150">
        <v>4</v>
      </c>
      <c r="C15" s="152" t="s">
        <v>100</v>
      </c>
      <c r="D15" s="150">
        <v>8592488</v>
      </c>
      <c r="E15" s="158" t="s">
        <v>193</v>
      </c>
      <c r="F15" s="150">
        <v>61827879</v>
      </c>
    </row>
    <row r="16" spans="1:6" x14ac:dyDescent="0.25">
      <c r="A16" s="150">
        <v>10</v>
      </c>
      <c r="B16" s="150">
        <v>5</v>
      </c>
      <c r="C16" s="159" t="s">
        <v>15</v>
      </c>
      <c r="D16" s="150">
        <v>1099917</v>
      </c>
      <c r="E16" s="145" t="s">
        <v>16</v>
      </c>
      <c r="F16" s="150">
        <v>68647647</v>
      </c>
    </row>
    <row r="17" spans="1:8" x14ac:dyDescent="0.25">
      <c r="A17" s="150">
        <v>11</v>
      </c>
      <c r="B17" s="150">
        <v>6</v>
      </c>
      <c r="C17" s="152" t="s">
        <v>122</v>
      </c>
      <c r="D17" s="150">
        <v>4095694</v>
      </c>
      <c r="E17" s="158" t="s">
        <v>190</v>
      </c>
      <c r="F17" s="150">
        <v>69665520</v>
      </c>
    </row>
    <row r="18" spans="1:8" x14ac:dyDescent="0.25">
      <c r="A18" s="150">
        <v>12</v>
      </c>
      <c r="B18" s="150">
        <v>7</v>
      </c>
      <c r="C18" s="159" t="s">
        <v>202</v>
      </c>
      <c r="D18" s="145">
        <v>4008329</v>
      </c>
      <c r="E18" s="145" t="s">
        <v>194</v>
      </c>
      <c r="F18" s="150">
        <v>79437979</v>
      </c>
    </row>
    <row r="19" spans="1:8" x14ac:dyDescent="0.25">
      <c r="A19" s="150"/>
      <c r="B19" s="150">
        <v>8</v>
      </c>
      <c r="C19" s="159" t="s">
        <v>203</v>
      </c>
      <c r="D19" s="145">
        <v>7485109</v>
      </c>
      <c r="E19" s="145" t="s">
        <v>195</v>
      </c>
      <c r="F19" s="150">
        <v>67725671</v>
      </c>
    </row>
    <row r="20" spans="1:8" x14ac:dyDescent="0.25">
      <c r="A20" s="150">
        <v>13</v>
      </c>
      <c r="B20" s="150">
        <v>9</v>
      </c>
      <c r="C20" s="160" t="s">
        <v>49</v>
      </c>
      <c r="D20" s="145">
        <v>6674548</v>
      </c>
      <c r="E20" s="145" t="s">
        <v>196</v>
      </c>
      <c r="F20" s="150">
        <v>70337441</v>
      </c>
    </row>
    <row r="21" spans="1:8" x14ac:dyDescent="0.25">
      <c r="A21" s="150">
        <v>14</v>
      </c>
      <c r="B21" s="150">
        <v>10</v>
      </c>
      <c r="C21" s="152" t="s">
        <v>12</v>
      </c>
      <c r="D21" s="150">
        <v>3658072</v>
      </c>
      <c r="E21" s="145" t="s">
        <v>13</v>
      </c>
      <c r="F21" s="157">
        <v>73463508</v>
      </c>
      <c r="H21" s="144" t="s">
        <v>152</v>
      </c>
    </row>
    <row r="22" spans="1:8" x14ac:dyDescent="0.25">
      <c r="A22" s="150">
        <v>15</v>
      </c>
      <c r="B22" s="150">
        <v>11</v>
      </c>
      <c r="C22" s="152" t="s">
        <v>101</v>
      </c>
      <c r="D22" s="150">
        <v>1276103</v>
      </c>
      <c r="E22" s="158" t="s">
        <v>189</v>
      </c>
      <c r="F22" s="150">
        <v>71154656</v>
      </c>
    </row>
    <row r="23" spans="1:8" x14ac:dyDescent="0.25">
      <c r="A23" s="150">
        <v>16</v>
      </c>
      <c r="B23" s="150">
        <v>12</v>
      </c>
      <c r="C23" s="152" t="s">
        <v>29</v>
      </c>
      <c r="D23" s="145">
        <v>3663169</v>
      </c>
      <c r="E23" s="158" t="s">
        <v>190</v>
      </c>
      <c r="F23" s="145">
        <v>73420946</v>
      </c>
    </row>
    <row r="24" spans="1:8" x14ac:dyDescent="0.25">
      <c r="A24" s="150">
        <v>17</v>
      </c>
      <c r="B24" s="150">
        <v>13</v>
      </c>
      <c r="C24" s="152" t="s">
        <v>204</v>
      </c>
      <c r="D24" s="150">
        <v>5640024</v>
      </c>
      <c r="E24" s="158" t="s">
        <v>190</v>
      </c>
      <c r="F24" s="150">
        <v>72872205</v>
      </c>
    </row>
    <row r="25" spans="1:8" x14ac:dyDescent="0.25">
      <c r="A25" s="150">
        <v>20</v>
      </c>
      <c r="B25" s="150">
        <v>14</v>
      </c>
      <c r="C25" s="161" t="s">
        <v>39</v>
      </c>
      <c r="D25" s="153">
        <v>7567785</v>
      </c>
      <c r="E25" s="162" t="s">
        <v>193</v>
      </c>
      <c r="F25" s="153">
        <v>73434221</v>
      </c>
    </row>
    <row r="26" spans="1:8" ht="16.5" thickBot="1" x14ac:dyDescent="0.3">
      <c r="A26" s="150">
        <v>21</v>
      </c>
      <c r="B26" s="153">
        <v>15</v>
      </c>
      <c r="C26" s="159" t="s">
        <v>38</v>
      </c>
      <c r="D26" s="145">
        <v>5506447</v>
      </c>
      <c r="E26" s="145" t="s">
        <v>194</v>
      </c>
      <c r="F26" s="150">
        <v>73873917</v>
      </c>
    </row>
    <row r="27" spans="1:8" ht="16.5" thickTop="1" x14ac:dyDescent="0.25">
      <c r="A27" s="146" t="s">
        <v>17</v>
      </c>
      <c r="B27" s="146" t="s">
        <v>17</v>
      </c>
      <c r="C27" s="147"/>
      <c r="D27" s="147"/>
      <c r="E27" s="147"/>
      <c r="F27" s="148"/>
    </row>
    <row r="28" spans="1:8" x14ac:dyDescent="0.25">
      <c r="A28" s="149" t="s">
        <v>2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</row>
    <row r="29" spans="1:8" x14ac:dyDescent="0.25">
      <c r="A29" s="150">
        <v>22</v>
      </c>
      <c r="B29" s="150">
        <v>1</v>
      </c>
      <c r="C29" s="152" t="s">
        <v>205</v>
      </c>
      <c r="D29" s="145">
        <v>8522868</v>
      </c>
      <c r="E29" s="145" t="s">
        <v>132</v>
      </c>
      <c r="F29" s="157">
        <v>72410345</v>
      </c>
    </row>
    <row r="30" spans="1:8" x14ac:dyDescent="0.25">
      <c r="A30" s="150">
        <v>23</v>
      </c>
      <c r="B30" s="150">
        <v>2</v>
      </c>
      <c r="C30" s="152" t="s">
        <v>78</v>
      </c>
      <c r="D30" s="145">
        <v>12621864</v>
      </c>
      <c r="E30" s="145" t="s">
        <v>66</v>
      </c>
      <c r="F30" s="157">
        <v>71673609</v>
      </c>
    </row>
    <row r="31" spans="1:8" x14ac:dyDescent="0.25">
      <c r="A31" s="150">
        <v>24</v>
      </c>
      <c r="B31" s="150">
        <v>3</v>
      </c>
      <c r="C31" s="163" t="s">
        <v>206</v>
      </c>
      <c r="D31" s="157">
        <v>12456683</v>
      </c>
      <c r="E31" s="145" t="s">
        <v>164</v>
      </c>
      <c r="F31" s="157">
        <v>71153990</v>
      </c>
    </row>
    <row r="32" spans="1:8" x14ac:dyDescent="0.25">
      <c r="A32" s="150">
        <v>25</v>
      </c>
      <c r="B32" s="150">
        <v>4</v>
      </c>
      <c r="C32" s="152" t="s">
        <v>68</v>
      </c>
      <c r="D32" s="145">
        <v>3627106</v>
      </c>
      <c r="E32" s="145" t="s">
        <v>130</v>
      </c>
      <c r="F32" s="157">
        <v>72864689</v>
      </c>
    </row>
    <row r="33" spans="1:6" x14ac:dyDescent="0.25">
      <c r="A33" s="150">
        <v>26</v>
      </c>
      <c r="B33" s="150">
        <v>5</v>
      </c>
      <c r="C33" s="152" t="s">
        <v>207</v>
      </c>
      <c r="D33" s="145">
        <v>9146494</v>
      </c>
      <c r="E33" s="145" t="s">
        <v>165</v>
      </c>
      <c r="F33" s="157">
        <v>73444883</v>
      </c>
    </row>
    <row r="34" spans="1:6" x14ac:dyDescent="0.25">
      <c r="A34" s="150">
        <v>27</v>
      </c>
      <c r="B34" s="150">
        <v>6</v>
      </c>
      <c r="C34" s="152" t="s">
        <v>154</v>
      </c>
      <c r="D34" s="145">
        <v>7513057</v>
      </c>
      <c r="E34" s="145" t="s">
        <v>166</v>
      </c>
      <c r="F34" s="157">
        <v>72316002</v>
      </c>
    </row>
    <row r="35" spans="1:6" x14ac:dyDescent="0.25">
      <c r="A35" s="150">
        <v>28</v>
      </c>
      <c r="B35" s="150">
        <v>7</v>
      </c>
      <c r="C35" s="152" t="s">
        <v>19</v>
      </c>
      <c r="D35" s="145">
        <v>10342838</v>
      </c>
      <c r="E35" s="145" t="s">
        <v>129</v>
      </c>
      <c r="F35" s="157">
        <v>68640802</v>
      </c>
    </row>
    <row r="36" spans="1:6" x14ac:dyDescent="0.25">
      <c r="A36" s="150">
        <v>29</v>
      </c>
      <c r="B36" s="150">
        <v>8</v>
      </c>
      <c r="C36" s="152" t="s">
        <v>18</v>
      </c>
      <c r="D36" s="145">
        <v>4631528</v>
      </c>
      <c r="E36" s="145" t="s">
        <v>131</v>
      </c>
      <c r="F36" s="145">
        <v>72896333</v>
      </c>
    </row>
    <row r="37" spans="1:6" x14ac:dyDescent="0.25">
      <c r="A37" s="150">
        <v>30</v>
      </c>
      <c r="B37" s="150">
        <v>9</v>
      </c>
      <c r="C37" s="152" t="s">
        <v>208</v>
      </c>
      <c r="D37" s="150">
        <v>7486511</v>
      </c>
      <c r="E37" s="158" t="s">
        <v>98</v>
      </c>
      <c r="F37" s="150">
        <v>79310777</v>
      </c>
    </row>
    <row r="38" spans="1:6" ht="16.5" thickBot="1" x14ac:dyDescent="0.3">
      <c r="A38" s="153">
        <v>31</v>
      </c>
      <c r="B38" s="153">
        <v>10</v>
      </c>
      <c r="C38" s="161" t="s">
        <v>209</v>
      </c>
      <c r="D38" s="155">
        <v>8590352</v>
      </c>
      <c r="E38" s="155" t="s">
        <v>167</v>
      </c>
      <c r="F38" s="164">
        <v>60488957</v>
      </c>
    </row>
    <row r="39" spans="1:6" ht="16.5" thickTop="1" x14ac:dyDescent="0.25">
      <c r="A39" s="146" t="s">
        <v>20</v>
      </c>
      <c r="B39" s="146" t="s">
        <v>20</v>
      </c>
      <c r="C39" s="147"/>
      <c r="D39" s="147"/>
      <c r="E39" s="147"/>
      <c r="F39" s="148"/>
    </row>
    <row r="40" spans="1:6" x14ac:dyDescent="0.25">
      <c r="A40" s="149" t="s">
        <v>2</v>
      </c>
      <c r="B40" s="149" t="s">
        <v>2</v>
      </c>
      <c r="C40" s="149" t="s">
        <v>3</v>
      </c>
      <c r="D40" s="149" t="s">
        <v>4</v>
      </c>
      <c r="E40" s="149" t="s">
        <v>5</v>
      </c>
      <c r="F40" s="149" t="s">
        <v>6</v>
      </c>
    </row>
    <row r="41" spans="1:6" x14ac:dyDescent="0.25">
      <c r="A41" s="145">
        <v>32</v>
      </c>
      <c r="B41" s="145">
        <v>1</v>
      </c>
      <c r="C41" s="152" t="s">
        <v>21</v>
      </c>
      <c r="D41" s="145">
        <v>4109228</v>
      </c>
      <c r="E41" s="145" t="s">
        <v>197</v>
      </c>
      <c r="F41" s="165">
        <v>72871384</v>
      </c>
    </row>
    <row r="42" spans="1:6" x14ac:dyDescent="0.25">
      <c r="A42" s="145">
        <v>33</v>
      </c>
      <c r="B42" s="145">
        <v>2</v>
      </c>
      <c r="C42" s="152" t="s">
        <v>23</v>
      </c>
      <c r="D42" s="145">
        <v>4149533</v>
      </c>
      <c r="E42" s="145" t="s">
        <v>197</v>
      </c>
      <c r="F42" s="165">
        <v>68646503</v>
      </c>
    </row>
    <row r="43" spans="1:6" x14ac:dyDescent="0.25">
      <c r="A43" s="145">
        <v>34</v>
      </c>
      <c r="B43" s="145">
        <v>3</v>
      </c>
      <c r="C43" s="152" t="s">
        <v>26</v>
      </c>
      <c r="D43" s="145">
        <v>10315882</v>
      </c>
      <c r="E43" s="145" t="s">
        <v>199</v>
      </c>
      <c r="F43" s="165">
        <v>71157165</v>
      </c>
    </row>
    <row r="44" spans="1:6" x14ac:dyDescent="0.25">
      <c r="A44" s="145">
        <v>35</v>
      </c>
      <c r="B44" s="145">
        <v>4</v>
      </c>
      <c r="C44" s="152" t="s">
        <v>27</v>
      </c>
      <c r="D44" s="145">
        <v>5556739</v>
      </c>
      <c r="E44" s="145" t="s">
        <v>198</v>
      </c>
      <c r="F44" s="157">
        <v>73887878</v>
      </c>
    </row>
    <row r="45" spans="1:6" x14ac:dyDescent="0.25">
      <c r="A45" s="145">
        <v>36</v>
      </c>
      <c r="B45" s="145">
        <v>5</v>
      </c>
      <c r="C45" s="152" t="s">
        <v>25</v>
      </c>
      <c r="D45" s="145">
        <v>5697980</v>
      </c>
      <c r="E45" s="145" t="s">
        <v>199</v>
      </c>
      <c r="F45" s="150">
        <v>67613727</v>
      </c>
    </row>
    <row r="46" spans="1:6" x14ac:dyDescent="0.25">
      <c r="A46" s="145">
        <v>37</v>
      </c>
      <c r="B46" s="145">
        <v>6</v>
      </c>
      <c r="C46" s="152" t="s">
        <v>22</v>
      </c>
      <c r="D46" s="150">
        <v>1136040</v>
      </c>
      <c r="E46" s="145" t="s">
        <v>197</v>
      </c>
      <c r="F46" s="165">
        <v>67651372</v>
      </c>
    </row>
    <row r="47" spans="1:6" x14ac:dyDescent="0.25">
      <c r="A47" s="145">
        <v>38</v>
      </c>
      <c r="B47" s="145">
        <v>7</v>
      </c>
      <c r="C47" s="152" t="s">
        <v>24</v>
      </c>
      <c r="D47" s="145">
        <v>3307619</v>
      </c>
      <c r="E47" s="145" t="s">
        <v>197</v>
      </c>
      <c r="F47" s="165">
        <v>68664547</v>
      </c>
    </row>
  </sheetData>
  <mergeCells count="2">
    <mergeCell ref="A2:F2"/>
    <mergeCell ref="A1:F1"/>
  </mergeCells>
  <pageMargins left="0.12" right="0.12" top="0.75" bottom="0.12" header="0.3" footer="0.3"/>
  <pageSetup scale="9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45"/>
  <sheetViews>
    <sheetView zoomScale="115" zoomScaleNormal="115" workbookViewId="0">
      <selection activeCell="C11" sqref="C11"/>
    </sheetView>
  </sheetViews>
  <sheetFormatPr baseColWidth="10" defaultRowHeight="18" x14ac:dyDescent="0.25"/>
  <cols>
    <col min="1" max="1" width="4.5703125" style="136" bestFit="1" customWidth="1"/>
    <col min="2" max="2" width="53.85546875" style="136" bestFit="1" customWidth="1"/>
    <col min="3" max="3" width="26" style="136" customWidth="1"/>
  </cols>
  <sheetData>
    <row r="1" spans="1:3" ht="36.75" customHeight="1" x14ac:dyDescent="0.25">
      <c r="A1" s="170" t="s">
        <v>180</v>
      </c>
      <c r="B1" s="170"/>
      <c r="C1" s="170"/>
    </row>
    <row r="2" spans="1:3" ht="17.25" x14ac:dyDescent="0.25">
      <c r="A2" s="127" t="s">
        <v>2</v>
      </c>
      <c r="B2" s="127" t="s">
        <v>3</v>
      </c>
      <c r="C2" s="127" t="s">
        <v>4</v>
      </c>
    </row>
    <row r="3" spans="1:3" ht="17.25" x14ac:dyDescent="0.25">
      <c r="A3" s="127">
        <v>1</v>
      </c>
      <c r="B3" s="129" t="s">
        <v>35</v>
      </c>
      <c r="C3" s="128">
        <v>8550592</v>
      </c>
    </row>
    <row r="4" spans="1:3" ht="17.25" x14ac:dyDescent="0.25">
      <c r="A4" s="127">
        <v>2</v>
      </c>
      <c r="B4" s="130" t="s">
        <v>8</v>
      </c>
      <c r="C4" s="128">
        <v>5114078</v>
      </c>
    </row>
    <row r="5" spans="1:3" ht="17.25" x14ac:dyDescent="0.25">
      <c r="A5" s="127">
        <v>3</v>
      </c>
      <c r="B5" s="130" t="s">
        <v>36</v>
      </c>
      <c r="C5" s="128">
        <v>10422557</v>
      </c>
    </row>
    <row r="6" spans="1:3" ht="17.25" x14ac:dyDescent="0.25">
      <c r="A6" s="127">
        <v>4</v>
      </c>
      <c r="B6" s="130" t="s">
        <v>9</v>
      </c>
      <c r="C6" s="128">
        <v>5668698</v>
      </c>
    </row>
    <row r="7" spans="1:3" ht="17.25" x14ac:dyDescent="0.25">
      <c r="A7" s="127">
        <v>5</v>
      </c>
      <c r="B7" s="131" t="s">
        <v>30</v>
      </c>
      <c r="C7" s="128">
        <v>1096700</v>
      </c>
    </row>
    <row r="8" spans="1:3" ht="17.25" x14ac:dyDescent="0.25">
      <c r="A8" s="127"/>
      <c r="B8" s="168" t="s">
        <v>11</v>
      </c>
      <c r="C8" s="169"/>
    </row>
    <row r="9" spans="1:3" ht="17.25" x14ac:dyDescent="0.25">
      <c r="A9" s="127">
        <v>6</v>
      </c>
      <c r="B9" s="130" t="s">
        <v>33</v>
      </c>
      <c r="C9" s="128">
        <v>6681389</v>
      </c>
    </row>
    <row r="10" spans="1:3" ht="17.25" x14ac:dyDescent="0.25">
      <c r="A10" s="127">
        <v>7</v>
      </c>
      <c r="B10" s="130" t="s">
        <v>40</v>
      </c>
      <c r="C10" s="128">
        <v>3093595</v>
      </c>
    </row>
    <row r="11" spans="1:3" ht="17.25" x14ac:dyDescent="0.25">
      <c r="A11" s="127">
        <v>8</v>
      </c>
      <c r="B11" s="132" t="s">
        <v>31</v>
      </c>
      <c r="C11" s="133">
        <v>5669075</v>
      </c>
    </row>
    <row r="12" spans="1:3" ht="17.25" x14ac:dyDescent="0.25">
      <c r="A12" s="127">
        <v>9</v>
      </c>
      <c r="B12" s="130" t="s">
        <v>100</v>
      </c>
      <c r="C12" s="128">
        <v>8592488</v>
      </c>
    </row>
    <row r="13" spans="1:3" ht="17.25" x14ac:dyDescent="0.25">
      <c r="A13" s="127">
        <v>10</v>
      </c>
      <c r="B13" s="134" t="s">
        <v>15</v>
      </c>
      <c r="C13" s="128">
        <v>1099917</v>
      </c>
    </row>
    <row r="14" spans="1:3" ht="17.25" x14ac:dyDescent="0.25">
      <c r="A14" s="127">
        <v>11</v>
      </c>
      <c r="B14" s="134" t="s">
        <v>122</v>
      </c>
      <c r="C14" s="128">
        <v>4095964</v>
      </c>
    </row>
    <row r="15" spans="1:3" ht="17.25" x14ac:dyDescent="0.25">
      <c r="A15" s="127">
        <v>12</v>
      </c>
      <c r="B15" s="134" t="s">
        <v>101</v>
      </c>
      <c r="C15" s="128"/>
    </row>
    <row r="16" spans="1:3" ht="17.25" x14ac:dyDescent="0.25">
      <c r="A16" s="127">
        <v>13</v>
      </c>
      <c r="B16" s="131" t="s">
        <v>49</v>
      </c>
      <c r="C16" s="128">
        <v>6674548</v>
      </c>
    </row>
    <row r="17" spans="1:3" ht="17.25" x14ac:dyDescent="0.25">
      <c r="A17" s="127">
        <v>14</v>
      </c>
      <c r="B17" s="130" t="s">
        <v>12</v>
      </c>
      <c r="C17" s="128">
        <v>3658072</v>
      </c>
    </row>
    <row r="18" spans="1:3" ht="17.25" x14ac:dyDescent="0.25">
      <c r="A18" s="127">
        <v>15</v>
      </c>
      <c r="B18" s="130" t="s">
        <v>29</v>
      </c>
      <c r="C18" s="128">
        <v>3663169</v>
      </c>
    </row>
    <row r="19" spans="1:3" ht="17.25" x14ac:dyDescent="0.25">
      <c r="A19" s="127">
        <v>16</v>
      </c>
      <c r="B19" s="130" t="s">
        <v>99</v>
      </c>
      <c r="C19" s="128">
        <v>5639592</v>
      </c>
    </row>
    <row r="20" spans="1:3" ht="17.25" x14ac:dyDescent="0.25">
      <c r="A20" s="127">
        <v>17</v>
      </c>
      <c r="B20" s="132" t="s">
        <v>32</v>
      </c>
      <c r="C20" s="133">
        <v>5085012</v>
      </c>
    </row>
    <row r="21" spans="1:3" ht="17.25" x14ac:dyDescent="0.25">
      <c r="A21" s="127">
        <v>18</v>
      </c>
      <c r="B21" s="130" t="s">
        <v>41</v>
      </c>
      <c r="C21" s="128">
        <v>5668415</v>
      </c>
    </row>
    <row r="22" spans="1:3" ht="17.25" x14ac:dyDescent="0.25">
      <c r="A22" s="127">
        <v>19</v>
      </c>
      <c r="B22" s="134" t="s">
        <v>38</v>
      </c>
      <c r="C22" s="128">
        <v>5506447</v>
      </c>
    </row>
    <row r="23" spans="1:3" ht="17.25" x14ac:dyDescent="0.25">
      <c r="A23" s="127"/>
      <c r="B23" s="168" t="s">
        <v>17</v>
      </c>
      <c r="C23" s="169"/>
    </row>
    <row r="24" spans="1:3" ht="17.25" x14ac:dyDescent="0.25">
      <c r="A24" s="127">
        <v>20</v>
      </c>
      <c r="B24" s="130" t="s">
        <v>70</v>
      </c>
      <c r="C24" s="128">
        <v>10422206</v>
      </c>
    </row>
    <row r="25" spans="1:3" ht="17.25" x14ac:dyDescent="0.25">
      <c r="A25" s="127">
        <v>21</v>
      </c>
      <c r="B25" s="130" t="s">
        <v>78</v>
      </c>
      <c r="C25" s="128">
        <v>12621864</v>
      </c>
    </row>
    <row r="26" spans="1:3" ht="17.25" x14ac:dyDescent="0.25">
      <c r="A26" s="127">
        <v>22</v>
      </c>
      <c r="B26" s="135" t="s">
        <v>28</v>
      </c>
      <c r="C26" s="133">
        <v>10384527</v>
      </c>
    </row>
    <row r="27" spans="1:3" ht="17.25" x14ac:dyDescent="0.25">
      <c r="A27" s="127">
        <v>23</v>
      </c>
      <c r="B27" s="130" t="s">
        <v>68</v>
      </c>
      <c r="C27" s="128">
        <v>3627106</v>
      </c>
    </row>
    <row r="28" spans="1:3" ht="17.25" x14ac:dyDescent="0.25">
      <c r="A28" s="127">
        <v>24</v>
      </c>
      <c r="B28" s="130" t="s">
        <v>155</v>
      </c>
      <c r="C28" s="128">
        <v>7513057</v>
      </c>
    </row>
    <row r="29" spans="1:3" ht="17.25" x14ac:dyDescent="0.25">
      <c r="A29" s="127">
        <v>25</v>
      </c>
      <c r="B29" s="130" t="s">
        <v>153</v>
      </c>
      <c r="C29" s="128">
        <v>12516700</v>
      </c>
    </row>
    <row r="30" spans="1:3" ht="17.25" x14ac:dyDescent="0.25">
      <c r="A30" s="127">
        <v>26</v>
      </c>
      <c r="B30" s="130" t="s">
        <v>19</v>
      </c>
      <c r="C30" s="128">
        <v>10342838</v>
      </c>
    </row>
    <row r="31" spans="1:3" ht="17.25" x14ac:dyDescent="0.25">
      <c r="A31" s="127">
        <v>27</v>
      </c>
      <c r="B31" s="130" t="s">
        <v>18</v>
      </c>
      <c r="C31" s="128">
        <v>4631528</v>
      </c>
    </row>
    <row r="32" spans="1:3" ht="17.25" x14ac:dyDescent="0.25">
      <c r="A32" s="127">
        <v>28</v>
      </c>
      <c r="B32" s="130" t="s">
        <v>67</v>
      </c>
      <c r="C32" s="128">
        <v>10349893</v>
      </c>
    </row>
    <row r="33" spans="1:3" ht="17.25" x14ac:dyDescent="0.25">
      <c r="A33" s="127"/>
      <c r="B33" s="168" t="s">
        <v>20</v>
      </c>
      <c r="C33" s="169"/>
    </row>
    <row r="34" spans="1:3" ht="17.25" x14ac:dyDescent="0.25">
      <c r="A34" s="127">
        <v>29</v>
      </c>
      <c r="B34" s="130" t="s">
        <v>21</v>
      </c>
      <c r="C34" s="128">
        <v>4109228</v>
      </c>
    </row>
    <row r="35" spans="1:3" ht="17.25" x14ac:dyDescent="0.25">
      <c r="A35" s="127">
        <v>30</v>
      </c>
      <c r="B35" s="130" t="s">
        <v>23</v>
      </c>
      <c r="C35" s="128">
        <v>4149533</v>
      </c>
    </row>
    <row r="36" spans="1:3" ht="17.25" x14ac:dyDescent="0.25">
      <c r="A36" s="127">
        <v>31</v>
      </c>
      <c r="B36" s="130" t="s">
        <v>26</v>
      </c>
      <c r="C36" s="128">
        <v>10315882</v>
      </c>
    </row>
    <row r="37" spans="1:3" ht="17.25" x14ac:dyDescent="0.25">
      <c r="A37" s="127">
        <v>32</v>
      </c>
      <c r="B37" s="130" t="s">
        <v>27</v>
      </c>
      <c r="C37" s="128">
        <v>5556739</v>
      </c>
    </row>
    <row r="38" spans="1:3" ht="17.25" x14ac:dyDescent="0.25">
      <c r="A38" s="127">
        <v>33</v>
      </c>
      <c r="B38" s="130" t="s">
        <v>25</v>
      </c>
      <c r="C38" s="128">
        <v>5697980</v>
      </c>
    </row>
    <row r="39" spans="1:3" ht="17.25" x14ac:dyDescent="0.25">
      <c r="A39" s="127">
        <v>34</v>
      </c>
      <c r="B39" s="130" t="s">
        <v>24</v>
      </c>
      <c r="C39" s="128">
        <v>3307619</v>
      </c>
    </row>
    <row r="40" spans="1:3" ht="17.25" x14ac:dyDescent="0.25">
      <c r="A40" s="127"/>
      <c r="B40" s="168" t="s">
        <v>181</v>
      </c>
      <c r="C40" s="169"/>
    </row>
    <row r="41" spans="1:3" ht="17.25" customHeight="1" x14ac:dyDescent="0.25">
      <c r="A41" s="127">
        <v>35</v>
      </c>
      <c r="B41" s="130" t="s">
        <v>182</v>
      </c>
      <c r="C41" s="128">
        <v>13219839</v>
      </c>
    </row>
    <row r="42" spans="1:3" ht="17.25" x14ac:dyDescent="0.25">
      <c r="A42" s="127">
        <v>36</v>
      </c>
      <c r="B42" s="130" t="s">
        <v>183</v>
      </c>
      <c r="C42" s="128">
        <v>13123877</v>
      </c>
    </row>
    <row r="43" spans="1:3" ht="17.25" x14ac:dyDescent="0.25">
      <c r="A43" s="127">
        <v>37</v>
      </c>
      <c r="B43" s="130" t="s">
        <v>184</v>
      </c>
      <c r="C43" s="128">
        <v>14105222</v>
      </c>
    </row>
    <row r="44" spans="1:3" ht="17.25" x14ac:dyDescent="0.25">
      <c r="A44" s="127">
        <v>38</v>
      </c>
      <c r="B44" s="130" t="s">
        <v>185</v>
      </c>
      <c r="C44" s="128">
        <v>11547720</v>
      </c>
    </row>
    <row r="45" spans="1:3" ht="17.25" x14ac:dyDescent="0.25">
      <c r="A45" s="127">
        <v>39</v>
      </c>
      <c r="B45" s="130" t="s">
        <v>186</v>
      </c>
      <c r="C45" s="128">
        <v>10323829</v>
      </c>
    </row>
  </sheetData>
  <mergeCells count="5">
    <mergeCell ref="B8:C8"/>
    <mergeCell ref="B23:C23"/>
    <mergeCell ref="B33:C33"/>
    <mergeCell ref="A1:C1"/>
    <mergeCell ref="B40:C40"/>
  </mergeCells>
  <pageMargins left="0.7" right="0.7" top="0.75" bottom="0.75" header="0.3" footer="0.3"/>
  <pageSetup scale="82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I42"/>
  <sheetViews>
    <sheetView topLeftCell="A25" zoomScale="140" zoomScaleNormal="140" workbookViewId="0">
      <selection activeCell="C23" sqref="C23"/>
    </sheetView>
  </sheetViews>
  <sheetFormatPr baseColWidth="10" defaultRowHeight="15" x14ac:dyDescent="0.25"/>
  <cols>
    <col min="1" max="1" width="11.42578125" style="140"/>
    <col min="2" max="2" width="4.42578125" style="140" customWidth="1"/>
    <col min="3" max="3" width="41" style="140" bestFit="1" customWidth="1"/>
    <col min="4" max="4" width="12.7109375" style="138" bestFit="1" customWidth="1"/>
    <col min="5" max="5" width="5.140625" style="138" customWidth="1"/>
    <col min="6" max="7" width="5.140625" style="138" hidden="1" customWidth="1"/>
    <col min="8" max="8" width="7.28515625" style="138" hidden="1" customWidth="1"/>
    <col min="9" max="9" width="7.5703125" style="140" hidden="1" customWidth="1"/>
    <col min="10" max="16384" width="11.42578125" style="140"/>
  </cols>
  <sheetData>
    <row r="3" spans="2:9" ht="16.5" customHeight="1" x14ac:dyDescent="0.25">
      <c r="B3" s="171" t="s">
        <v>162</v>
      </c>
      <c r="C3" s="171"/>
      <c r="D3" s="171"/>
      <c r="E3" s="171"/>
      <c r="I3" s="139">
        <v>46022</v>
      </c>
    </row>
    <row r="4" spans="2:9" ht="18" customHeight="1" x14ac:dyDescent="0.25">
      <c r="B4" s="2" t="s">
        <v>2</v>
      </c>
      <c r="C4" s="2" t="s">
        <v>3</v>
      </c>
      <c r="D4" s="2" t="s">
        <v>157</v>
      </c>
      <c r="E4" s="2" t="s">
        <v>158</v>
      </c>
      <c r="F4" s="2" t="s">
        <v>160</v>
      </c>
      <c r="G4" s="2" t="s">
        <v>161</v>
      </c>
      <c r="H4" s="2" t="s">
        <v>52</v>
      </c>
      <c r="I4" s="2" t="s">
        <v>159</v>
      </c>
    </row>
    <row r="5" spans="2:9" ht="18" customHeight="1" x14ac:dyDescent="0.25">
      <c r="B5" s="2">
        <v>1</v>
      </c>
      <c r="C5" s="4" t="s">
        <v>26</v>
      </c>
      <c r="D5" s="141">
        <v>24838</v>
      </c>
      <c r="E5" s="142">
        <f t="shared" ref="E5:E42" ca="1" si="0">(TODAY()-D5)/365</f>
        <v>58.224657534246575</v>
      </c>
      <c r="F5" s="143">
        <v>1</v>
      </c>
      <c r="G5" s="143">
        <v>1</v>
      </c>
      <c r="H5" s="143">
        <v>1968</v>
      </c>
      <c r="I5" s="142">
        <f t="shared" ref="I5:I42" si="1">($I$3-D5)/365</f>
        <v>58.038356164383565</v>
      </c>
    </row>
    <row r="6" spans="2:9" ht="18" customHeight="1" x14ac:dyDescent="0.25">
      <c r="B6" s="2">
        <v>2</v>
      </c>
      <c r="C6" s="4" t="s">
        <v>12</v>
      </c>
      <c r="D6" s="141">
        <v>29225</v>
      </c>
      <c r="E6" s="142">
        <f t="shared" ca="1" si="0"/>
        <v>46.205479452054796</v>
      </c>
      <c r="F6" s="143">
        <v>5</v>
      </c>
      <c r="G6" s="143">
        <v>1</v>
      </c>
      <c r="H6" s="143">
        <v>1980</v>
      </c>
      <c r="I6" s="142">
        <f t="shared" si="1"/>
        <v>46.019178082191779</v>
      </c>
    </row>
    <row r="7" spans="2:9" ht="18" customHeight="1" x14ac:dyDescent="0.25">
      <c r="B7" s="2">
        <v>3</v>
      </c>
      <c r="C7" s="5" t="s">
        <v>14</v>
      </c>
      <c r="D7" s="141">
        <v>30724</v>
      </c>
      <c r="E7" s="142">
        <f t="shared" ca="1" si="0"/>
        <v>42.098630136986301</v>
      </c>
      <c r="F7" s="143">
        <v>12</v>
      </c>
      <c r="G7" s="143">
        <v>2</v>
      </c>
      <c r="H7" s="143">
        <v>1984</v>
      </c>
      <c r="I7" s="142">
        <f t="shared" si="1"/>
        <v>41.912328767123284</v>
      </c>
    </row>
    <row r="8" spans="2:9" ht="18" customHeight="1" x14ac:dyDescent="0.25">
      <c r="B8" s="2">
        <v>4</v>
      </c>
      <c r="C8" s="8" t="s">
        <v>32</v>
      </c>
      <c r="D8" s="141">
        <v>28902</v>
      </c>
      <c r="E8" s="142">
        <f t="shared" ca="1" si="0"/>
        <v>47.090410958904108</v>
      </c>
      <c r="F8" s="143">
        <v>16</v>
      </c>
      <c r="G8" s="143">
        <v>2</v>
      </c>
      <c r="H8" s="143">
        <v>1979</v>
      </c>
      <c r="I8" s="142">
        <f t="shared" si="1"/>
        <v>46.904109589041099</v>
      </c>
    </row>
    <row r="9" spans="2:9" ht="18" customHeight="1" x14ac:dyDescent="0.25">
      <c r="B9" s="2">
        <v>5</v>
      </c>
      <c r="C9" s="5" t="s">
        <v>15</v>
      </c>
      <c r="D9" s="141">
        <v>24173</v>
      </c>
      <c r="E9" s="142">
        <f t="shared" ca="1" si="0"/>
        <v>60.046575342465751</v>
      </c>
      <c r="F9" s="143">
        <v>7</v>
      </c>
      <c r="G9" s="143">
        <v>3</v>
      </c>
      <c r="H9" s="143">
        <v>1966</v>
      </c>
      <c r="I9" s="142">
        <f t="shared" si="1"/>
        <v>59.860273972602741</v>
      </c>
    </row>
    <row r="10" spans="2:9" ht="18" customHeight="1" x14ac:dyDescent="0.25">
      <c r="B10" s="2">
        <v>6</v>
      </c>
      <c r="C10" s="4" t="s">
        <v>122</v>
      </c>
      <c r="D10" s="141">
        <v>28561</v>
      </c>
      <c r="E10" s="142">
        <f t="shared" ca="1" si="0"/>
        <v>48.024657534246572</v>
      </c>
      <c r="F10" s="143">
        <v>12</v>
      </c>
      <c r="G10" s="143">
        <v>3</v>
      </c>
      <c r="H10" s="143">
        <v>1978</v>
      </c>
      <c r="I10" s="142">
        <f t="shared" si="1"/>
        <v>47.838356164383562</v>
      </c>
    </row>
    <row r="11" spans="2:9" ht="18" customHeight="1" x14ac:dyDescent="0.25">
      <c r="B11" s="2">
        <v>7</v>
      </c>
      <c r="C11" s="4" t="s">
        <v>154</v>
      </c>
      <c r="D11" s="141">
        <v>33678</v>
      </c>
      <c r="E11" s="142">
        <f t="shared" ca="1" si="0"/>
        <v>34.005479452054793</v>
      </c>
      <c r="F11" s="143">
        <v>15</v>
      </c>
      <c r="G11" s="143">
        <v>3</v>
      </c>
      <c r="H11" s="143">
        <v>1992</v>
      </c>
      <c r="I11" s="142">
        <f t="shared" si="1"/>
        <v>33.819178082191783</v>
      </c>
    </row>
    <row r="12" spans="2:9" ht="18" customHeight="1" x14ac:dyDescent="0.25">
      <c r="B12" s="2">
        <v>8</v>
      </c>
      <c r="C12" s="4" t="s">
        <v>200</v>
      </c>
      <c r="D12" s="141">
        <v>33320</v>
      </c>
      <c r="E12" s="142">
        <f t="shared" ca="1" si="0"/>
        <v>34.986301369863014</v>
      </c>
      <c r="F12" s="143">
        <v>23</v>
      </c>
      <c r="G12" s="143">
        <v>3</v>
      </c>
      <c r="H12" s="143">
        <v>1991</v>
      </c>
      <c r="I12" s="142">
        <f t="shared" si="1"/>
        <v>34.799999999999997</v>
      </c>
    </row>
    <row r="13" spans="2:9" ht="18" customHeight="1" x14ac:dyDescent="0.25">
      <c r="B13" s="2">
        <v>9</v>
      </c>
      <c r="C13" s="4" t="s">
        <v>100</v>
      </c>
      <c r="D13" s="141">
        <v>33701</v>
      </c>
      <c r="E13" s="142">
        <f t="shared" ca="1" si="0"/>
        <v>33.942465753424656</v>
      </c>
      <c r="F13" s="143">
        <v>7</v>
      </c>
      <c r="G13" s="143">
        <v>4</v>
      </c>
      <c r="H13" s="143">
        <v>1992</v>
      </c>
      <c r="I13" s="142">
        <f t="shared" si="1"/>
        <v>33.756164383561647</v>
      </c>
    </row>
    <row r="14" spans="2:9" ht="18" customHeight="1" x14ac:dyDescent="0.25">
      <c r="B14" s="2">
        <v>10</v>
      </c>
      <c r="C14" s="4" t="s">
        <v>18</v>
      </c>
      <c r="D14" s="141">
        <v>26781</v>
      </c>
      <c r="E14" s="142">
        <f t="shared" ca="1" si="0"/>
        <v>52.901369863013699</v>
      </c>
      <c r="F14" s="143">
        <v>27</v>
      </c>
      <c r="G14" s="143">
        <v>4</v>
      </c>
      <c r="H14" s="143">
        <v>1973</v>
      </c>
      <c r="I14" s="142">
        <f t="shared" si="1"/>
        <v>52.715068493150682</v>
      </c>
    </row>
    <row r="15" spans="2:9" ht="18" customHeight="1" x14ac:dyDescent="0.25">
      <c r="B15" s="2">
        <v>11</v>
      </c>
      <c r="C15" s="4" t="s">
        <v>33</v>
      </c>
      <c r="D15" s="141">
        <v>32263</v>
      </c>
      <c r="E15" s="142">
        <f t="shared" ca="1" si="0"/>
        <v>37.88219178082192</v>
      </c>
      <c r="F15" s="143">
        <v>30</v>
      </c>
      <c r="G15" s="143">
        <v>4</v>
      </c>
      <c r="H15" s="143">
        <v>1988</v>
      </c>
      <c r="I15" s="142">
        <f t="shared" si="1"/>
        <v>37.695890410958903</v>
      </c>
    </row>
    <row r="16" spans="2:9" ht="18" customHeight="1" x14ac:dyDescent="0.25">
      <c r="B16" s="2">
        <v>12</v>
      </c>
      <c r="C16" s="4" t="s">
        <v>39</v>
      </c>
      <c r="D16" s="141">
        <v>33359</v>
      </c>
      <c r="E16" s="142">
        <f t="shared" ca="1" si="0"/>
        <v>34.87945205479452</v>
      </c>
      <c r="F16" s="143">
        <v>1</v>
      </c>
      <c r="G16" s="143">
        <v>5</v>
      </c>
      <c r="H16" s="143">
        <v>1991</v>
      </c>
      <c r="I16" s="142">
        <f t="shared" si="1"/>
        <v>34.69315068493151</v>
      </c>
    </row>
    <row r="17" spans="2:9" ht="18" customHeight="1" x14ac:dyDescent="0.25">
      <c r="B17" s="2">
        <v>13</v>
      </c>
      <c r="C17" s="9" t="s">
        <v>35</v>
      </c>
      <c r="D17" s="141">
        <v>27522</v>
      </c>
      <c r="E17" s="142">
        <f t="shared" ca="1" si="0"/>
        <v>50.871232876712327</v>
      </c>
      <c r="F17" s="143">
        <v>8</v>
      </c>
      <c r="G17" s="143">
        <v>5</v>
      </c>
      <c r="H17" s="143">
        <v>1975</v>
      </c>
      <c r="I17" s="142">
        <f t="shared" si="1"/>
        <v>50.684931506849317</v>
      </c>
    </row>
    <row r="18" spans="2:9" ht="18" customHeight="1" x14ac:dyDescent="0.25">
      <c r="B18" s="2">
        <v>14</v>
      </c>
      <c r="C18" s="4" t="s">
        <v>36</v>
      </c>
      <c r="D18" s="141">
        <v>35210</v>
      </c>
      <c r="E18" s="142">
        <f t="shared" ca="1" si="0"/>
        <v>29.80821917808219</v>
      </c>
      <c r="F18" s="143">
        <v>25</v>
      </c>
      <c r="G18" s="143">
        <v>5</v>
      </c>
      <c r="H18" s="143">
        <v>1996</v>
      </c>
      <c r="I18" s="142">
        <f t="shared" si="1"/>
        <v>29.621917808219177</v>
      </c>
    </row>
    <row r="19" spans="2:9" ht="18" customHeight="1" x14ac:dyDescent="0.25">
      <c r="B19" s="2">
        <v>15</v>
      </c>
      <c r="C19" s="4" t="s">
        <v>21</v>
      </c>
      <c r="D19" s="141">
        <v>27910</v>
      </c>
      <c r="E19" s="142">
        <f t="shared" ca="1" si="0"/>
        <v>49.80821917808219</v>
      </c>
      <c r="F19" s="143">
        <v>30</v>
      </c>
      <c r="G19" s="143">
        <v>5</v>
      </c>
      <c r="H19" s="143">
        <v>1976</v>
      </c>
      <c r="I19" s="142">
        <f t="shared" si="1"/>
        <v>49.62191780821918</v>
      </c>
    </row>
    <row r="20" spans="2:9" ht="18" customHeight="1" x14ac:dyDescent="0.25">
      <c r="B20" s="2">
        <v>16</v>
      </c>
      <c r="C20" s="5" t="s">
        <v>38</v>
      </c>
      <c r="D20" s="141">
        <v>29010</v>
      </c>
      <c r="E20" s="142">
        <f t="shared" ca="1" si="0"/>
        <v>46.794520547945204</v>
      </c>
      <c r="F20" s="143">
        <v>4</v>
      </c>
      <c r="G20" s="143">
        <v>6</v>
      </c>
      <c r="H20" s="143">
        <v>1979</v>
      </c>
      <c r="I20" s="142">
        <f t="shared" si="1"/>
        <v>46.608219178082194</v>
      </c>
    </row>
    <row r="21" spans="2:9" ht="18" customHeight="1" x14ac:dyDescent="0.25">
      <c r="B21" s="2">
        <v>17</v>
      </c>
      <c r="C21" s="4" t="s">
        <v>25</v>
      </c>
      <c r="D21" s="141">
        <v>30842</v>
      </c>
      <c r="E21" s="142">
        <f t="shared" ca="1" si="0"/>
        <v>41.775342465753425</v>
      </c>
      <c r="F21" s="143">
        <v>9</v>
      </c>
      <c r="G21" s="143">
        <v>6</v>
      </c>
      <c r="H21" s="143">
        <v>1984</v>
      </c>
      <c r="I21" s="142">
        <f t="shared" si="1"/>
        <v>41.589041095890408</v>
      </c>
    </row>
    <row r="22" spans="2:9" ht="18" customHeight="1" x14ac:dyDescent="0.25">
      <c r="B22" s="2">
        <v>18</v>
      </c>
      <c r="C22" s="4" t="s">
        <v>40</v>
      </c>
      <c r="D22" s="141">
        <v>23918</v>
      </c>
      <c r="E22" s="142">
        <f t="shared" ca="1" si="0"/>
        <v>60.745205479452054</v>
      </c>
      <c r="F22" s="143">
        <v>25</v>
      </c>
      <c r="G22" s="143">
        <v>6</v>
      </c>
      <c r="H22" s="143">
        <v>1965</v>
      </c>
      <c r="I22" s="142">
        <f t="shared" si="1"/>
        <v>60.558904109589044</v>
      </c>
    </row>
    <row r="23" spans="2:9" ht="18" customHeight="1" x14ac:dyDescent="0.25">
      <c r="B23" s="2">
        <v>19</v>
      </c>
      <c r="C23" s="4" t="s">
        <v>99</v>
      </c>
      <c r="D23" s="141">
        <v>30131</v>
      </c>
      <c r="E23" s="142">
        <f t="shared" ca="1" si="0"/>
        <v>43.723287671232875</v>
      </c>
      <c r="F23" s="143">
        <v>29</v>
      </c>
      <c r="G23" s="143">
        <v>6</v>
      </c>
      <c r="H23" s="143">
        <v>1982</v>
      </c>
      <c r="I23" s="142">
        <f t="shared" si="1"/>
        <v>43.536986301369865</v>
      </c>
    </row>
    <row r="24" spans="2:9" ht="18" customHeight="1" x14ac:dyDescent="0.25">
      <c r="B24" s="2">
        <v>20</v>
      </c>
      <c r="C24" s="4" t="s">
        <v>27</v>
      </c>
      <c r="D24" s="141">
        <v>30139</v>
      </c>
      <c r="E24" s="142">
        <f t="shared" ca="1" si="0"/>
        <v>43.701369863013696</v>
      </c>
      <c r="F24" s="143">
        <v>7</v>
      </c>
      <c r="G24" s="143">
        <v>7</v>
      </c>
      <c r="H24" s="143">
        <v>1982</v>
      </c>
      <c r="I24" s="142">
        <f t="shared" si="1"/>
        <v>43.515068493150686</v>
      </c>
    </row>
    <row r="25" spans="2:9" ht="18" customHeight="1" x14ac:dyDescent="0.25">
      <c r="B25" s="2">
        <v>21</v>
      </c>
      <c r="C25" s="4" t="s">
        <v>201</v>
      </c>
      <c r="D25" s="141">
        <v>34533</v>
      </c>
      <c r="E25" s="142">
        <f t="shared" ca="1" si="0"/>
        <v>31.663013698630138</v>
      </c>
      <c r="F25" s="143">
        <v>18</v>
      </c>
      <c r="G25" s="143">
        <v>7</v>
      </c>
      <c r="H25" s="143">
        <v>1994</v>
      </c>
      <c r="I25" s="142">
        <f t="shared" si="1"/>
        <v>31.476712328767125</v>
      </c>
    </row>
    <row r="26" spans="2:9" ht="18" customHeight="1" x14ac:dyDescent="0.25">
      <c r="B26" s="2">
        <v>22</v>
      </c>
      <c r="C26" s="4" t="s">
        <v>67</v>
      </c>
      <c r="D26" s="141">
        <v>35265</v>
      </c>
      <c r="E26" s="142">
        <f t="shared" ca="1" si="0"/>
        <v>29.657534246575342</v>
      </c>
      <c r="F26" s="143">
        <v>19</v>
      </c>
      <c r="G26" s="143">
        <v>7</v>
      </c>
      <c r="H26" s="143">
        <v>1996</v>
      </c>
      <c r="I26" s="142">
        <f t="shared" si="1"/>
        <v>29.471232876712328</v>
      </c>
    </row>
    <row r="27" spans="2:9" ht="18" customHeight="1" x14ac:dyDescent="0.25">
      <c r="B27" s="2">
        <v>23</v>
      </c>
      <c r="C27" s="4" t="s">
        <v>101</v>
      </c>
      <c r="D27" s="141">
        <v>20668</v>
      </c>
      <c r="E27" s="142">
        <f t="shared" ca="1" si="0"/>
        <v>69.649315068493152</v>
      </c>
      <c r="F27" s="143">
        <v>1</v>
      </c>
      <c r="G27" s="143">
        <v>8</v>
      </c>
      <c r="H27" s="143">
        <v>1956</v>
      </c>
      <c r="I27" s="142">
        <f t="shared" si="1"/>
        <v>69.463013698630135</v>
      </c>
    </row>
    <row r="28" spans="2:9" ht="18" customHeight="1" x14ac:dyDescent="0.25">
      <c r="B28" s="2">
        <v>24</v>
      </c>
      <c r="C28" s="4" t="s">
        <v>29</v>
      </c>
      <c r="D28" s="141">
        <v>25784</v>
      </c>
      <c r="E28" s="142">
        <f t="shared" ca="1" si="0"/>
        <v>55.632876712328766</v>
      </c>
      <c r="F28" s="143">
        <v>4</v>
      </c>
      <c r="G28" s="143">
        <v>8</v>
      </c>
      <c r="H28" s="143">
        <v>1970</v>
      </c>
      <c r="I28" s="142">
        <f t="shared" si="1"/>
        <v>55.446575342465756</v>
      </c>
    </row>
    <row r="29" spans="2:9" ht="18" customHeight="1" x14ac:dyDescent="0.25">
      <c r="B29" s="2">
        <v>25</v>
      </c>
      <c r="C29" s="4" t="s">
        <v>9</v>
      </c>
      <c r="D29" s="141">
        <v>31264</v>
      </c>
      <c r="E29" s="142">
        <f t="shared" ca="1" si="0"/>
        <v>40.61917808219178</v>
      </c>
      <c r="F29" s="143">
        <v>5</v>
      </c>
      <c r="G29" s="143">
        <v>8</v>
      </c>
      <c r="H29" s="143">
        <v>1985</v>
      </c>
      <c r="I29" s="142">
        <f t="shared" si="1"/>
        <v>40.43287671232877</v>
      </c>
    </row>
    <row r="30" spans="2:9" ht="18" customHeight="1" x14ac:dyDescent="0.25">
      <c r="B30" s="2">
        <v>26</v>
      </c>
      <c r="C30" s="4" t="s">
        <v>102</v>
      </c>
      <c r="D30" s="141">
        <v>28732</v>
      </c>
      <c r="E30" s="142">
        <f t="shared" ca="1" si="0"/>
        <v>47.556164383561644</v>
      </c>
      <c r="F30" s="143">
        <v>30</v>
      </c>
      <c r="G30" s="143">
        <v>8</v>
      </c>
      <c r="H30" s="143">
        <v>1978</v>
      </c>
      <c r="I30" s="142">
        <f t="shared" si="1"/>
        <v>47.369863013698627</v>
      </c>
    </row>
    <row r="31" spans="2:9" ht="18" customHeight="1" x14ac:dyDescent="0.25">
      <c r="B31" s="2">
        <v>27</v>
      </c>
      <c r="C31" s="8" t="s">
        <v>31</v>
      </c>
      <c r="D31" s="141">
        <v>31664</v>
      </c>
      <c r="E31" s="142">
        <f t="shared" ca="1" si="0"/>
        <v>39.523287671232879</v>
      </c>
      <c r="F31" s="143">
        <v>9</v>
      </c>
      <c r="G31" s="143">
        <v>9</v>
      </c>
      <c r="H31" s="143">
        <v>1986</v>
      </c>
      <c r="I31" s="142">
        <f t="shared" si="1"/>
        <v>39.336986301369862</v>
      </c>
    </row>
    <row r="32" spans="2:9" ht="18" customHeight="1" x14ac:dyDescent="0.25">
      <c r="B32" s="2">
        <v>28</v>
      </c>
      <c r="C32" s="4" t="s">
        <v>24</v>
      </c>
      <c r="D32" s="141">
        <v>23271</v>
      </c>
      <c r="E32" s="142">
        <f t="shared" ca="1" si="0"/>
        <v>62.517808219178079</v>
      </c>
      <c r="F32" s="143">
        <v>17</v>
      </c>
      <c r="G32" s="143">
        <v>9</v>
      </c>
      <c r="H32" s="143">
        <v>1963</v>
      </c>
      <c r="I32" s="142">
        <f t="shared" si="1"/>
        <v>62.331506849315069</v>
      </c>
    </row>
    <row r="33" spans="2:9" ht="18" customHeight="1" x14ac:dyDescent="0.25">
      <c r="B33" s="2">
        <v>29</v>
      </c>
      <c r="C33" s="4" t="s">
        <v>153</v>
      </c>
      <c r="D33" s="141">
        <v>36086</v>
      </c>
      <c r="E33" s="142">
        <f t="shared" ca="1" si="0"/>
        <v>27.408219178082192</v>
      </c>
      <c r="F33" s="143">
        <v>18</v>
      </c>
      <c r="G33" s="143">
        <v>10</v>
      </c>
      <c r="H33" s="143">
        <v>1998</v>
      </c>
      <c r="I33" s="142">
        <f t="shared" si="1"/>
        <v>27.221917808219178</v>
      </c>
    </row>
    <row r="34" spans="2:9" ht="15.75" x14ac:dyDescent="0.25">
      <c r="B34" s="2">
        <v>30</v>
      </c>
      <c r="C34" s="6" t="s">
        <v>49</v>
      </c>
      <c r="D34" s="141">
        <v>32447</v>
      </c>
      <c r="E34" s="142">
        <f t="shared" ca="1" si="0"/>
        <v>37.37808219178082</v>
      </c>
      <c r="F34" s="143">
        <v>31</v>
      </c>
      <c r="G34" s="143">
        <v>10</v>
      </c>
      <c r="H34" s="143">
        <v>1988</v>
      </c>
      <c r="I34" s="142">
        <f t="shared" si="1"/>
        <v>37.19178082191781</v>
      </c>
    </row>
    <row r="35" spans="2:9" ht="15.75" x14ac:dyDescent="0.25">
      <c r="B35" s="2">
        <v>31</v>
      </c>
      <c r="C35" s="6" t="s">
        <v>30</v>
      </c>
      <c r="D35" s="141">
        <v>24423</v>
      </c>
      <c r="E35" s="142">
        <f t="shared" ca="1" si="0"/>
        <v>59.361643835616441</v>
      </c>
      <c r="F35" s="143">
        <v>12</v>
      </c>
      <c r="G35" s="143">
        <v>11</v>
      </c>
      <c r="H35" s="143">
        <v>1966</v>
      </c>
      <c r="I35" s="142">
        <f t="shared" si="1"/>
        <v>59.175342465753424</v>
      </c>
    </row>
    <row r="36" spans="2:9" ht="15.75" x14ac:dyDescent="0.25">
      <c r="B36" s="2">
        <v>32</v>
      </c>
      <c r="C36" s="4" t="s">
        <v>41</v>
      </c>
      <c r="D36" s="141">
        <v>32114</v>
      </c>
      <c r="E36" s="142">
        <f t="shared" ca="1" si="0"/>
        <v>38.290410958904111</v>
      </c>
      <c r="F36" s="143">
        <v>3</v>
      </c>
      <c r="G36" s="143">
        <v>12</v>
      </c>
      <c r="H36" s="143">
        <v>1987</v>
      </c>
      <c r="I36" s="142">
        <f t="shared" si="1"/>
        <v>38.104109589041094</v>
      </c>
    </row>
    <row r="37" spans="2:9" ht="15.75" x14ac:dyDescent="0.25">
      <c r="B37" s="2">
        <v>33</v>
      </c>
      <c r="C37" s="4" t="s">
        <v>19</v>
      </c>
      <c r="D37" s="141">
        <v>35038</v>
      </c>
      <c r="E37" s="142">
        <f t="shared" ca="1" si="0"/>
        <v>30.279452054794522</v>
      </c>
      <c r="F37" s="143">
        <v>5</v>
      </c>
      <c r="G37" s="143">
        <v>12</v>
      </c>
      <c r="H37" s="143">
        <v>1995</v>
      </c>
      <c r="I37" s="142">
        <f t="shared" si="1"/>
        <v>30.093150684931508</v>
      </c>
    </row>
    <row r="38" spans="2:9" ht="15.75" x14ac:dyDescent="0.25">
      <c r="B38" s="2">
        <v>34</v>
      </c>
      <c r="C38" s="4" t="s">
        <v>22</v>
      </c>
      <c r="D38" s="141">
        <v>20069</v>
      </c>
      <c r="E38" s="142">
        <f t="shared" ca="1" si="0"/>
        <v>71.290410958904104</v>
      </c>
      <c r="F38" s="143">
        <v>11</v>
      </c>
      <c r="G38" s="143">
        <v>12</v>
      </c>
      <c r="H38" s="143">
        <v>1954</v>
      </c>
      <c r="I38" s="142">
        <f t="shared" si="1"/>
        <v>71.104109589041101</v>
      </c>
    </row>
    <row r="39" spans="2:9" ht="15.75" x14ac:dyDescent="0.25">
      <c r="B39" s="2">
        <v>35</v>
      </c>
      <c r="C39" s="4" t="s">
        <v>8</v>
      </c>
      <c r="D39" s="141">
        <v>29567</v>
      </c>
      <c r="E39" s="142">
        <f t="shared" ca="1" si="0"/>
        <v>45.268493150684932</v>
      </c>
      <c r="F39" s="143">
        <v>12</v>
      </c>
      <c r="G39" s="143">
        <v>12</v>
      </c>
      <c r="H39" s="143">
        <v>1980</v>
      </c>
      <c r="I39" s="142">
        <f t="shared" si="1"/>
        <v>45.082191780821915</v>
      </c>
    </row>
    <row r="40" spans="2:9" ht="15.75" x14ac:dyDescent="0.25">
      <c r="B40" s="2">
        <v>36</v>
      </c>
      <c r="C40" s="4" t="s">
        <v>68</v>
      </c>
      <c r="D40" s="141">
        <v>26648</v>
      </c>
      <c r="E40" s="142">
        <f t="shared" ca="1" si="0"/>
        <v>53.265753424657532</v>
      </c>
      <c r="F40" s="143">
        <v>15</v>
      </c>
      <c r="G40" s="143">
        <v>12</v>
      </c>
      <c r="H40" s="143">
        <v>1972</v>
      </c>
      <c r="I40" s="142">
        <f t="shared" si="1"/>
        <v>53.079452054794523</v>
      </c>
    </row>
    <row r="41" spans="2:9" ht="15.75" x14ac:dyDescent="0.25">
      <c r="B41" s="2">
        <v>37</v>
      </c>
      <c r="C41" s="4" t="s">
        <v>23</v>
      </c>
      <c r="D41" s="141">
        <v>27388</v>
      </c>
      <c r="E41" s="142">
        <f t="shared" ca="1" si="0"/>
        <v>51.238356164383561</v>
      </c>
      <c r="F41" s="143">
        <v>25</v>
      </c>
      <c r="G41" s="143">
        <v>12</v>
      </c>
      <c r="H41" s="143">
        <v>1974</v>
      </c>
      <c r="I41" s="142">
        <f t="shared" si="1"/>
        <v>51.052054794520551</v>
      </c>
    </row>
    <row r="42" spans="2:9" ht="15.75" x14ac:dyDescent="0.25">
      <c r="B42" s="2">
        <v>38</v>
      </c>
      <c r="C42" s="10" t="s">
        <v>28</v>
      </c>
      <c r="D42" s="141">
        <v>35429</v>
      </c>
      <c r="E42" s="142">
        <f t="shared" ca="1" si="0"/>
        <v>29.208219178082192</v>
      </c>
      <c r="F42" s="143">
        <v>30</v>
      </c>
      <c r="G42" s="143">
        <v>12</v>
      </c>
      <c r="H42" s="143">
        <v>1996</v>
      </c>
      <c r="I42" s="142">
        <f t="shared" si="1"/>
        <v>29.021917808219179</v>
      </c>
    </row>
  </sheetData>
  <autoFilter ref="B4:I4" xr:uid="{00000000-0009-0000-0000-000002000000}"/>
  <mergeCells count="1">
    <mergeCell ref="B3:E3"/>
  </mergeCells>
  <pageMargins left="0.7" right="0.7" top="0.75" bottom="0.75" header="0.3" footer="0.3"/>
  <pageSetup paperSize="9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81"/>
  <sheetViews>
    <sheetView zoomScale="70" zoomScaleNormal="70" workbookViewId="0">
      <pane xSplit="2" ySplit="4" topLeftCell="F8" activePane="bottomRight" state="frozen"/>
      <selection sqref="A1:D41"/>
      <selection pane="topRight" sqref="A1:D41"/>
      <selection pane="bottomLeft" sqref="A1:D41"/>
      <selection pane="bottomRight" activeCell="I18" sqref="I18"/>
    </sheetView>
  </sheetViews>
  <sheetFormatPr baseColWidth="10" defaultRowHeight="15" x14ac:dyDescent="0.25"/>
  <cols>
    <col min="1" max="1" width="7.7109375" customWidth="1"/>
    <col min="2" max="2" width="41" bestFit="1" customWidth="1"/>
    <col min="3" max="3" width="4.140625" style="23" hidden="1" customWidth="1"/>
    <col min="4" max="5" width="3.7109375" style="23" hidden="1" customWidth="1"/>
    <col min="6" max="9" width="4.5703125" style="23" customWidth="1"/>
    <col min="10" max="27" width="4.5703125" style="23" hidden="1" customWidth="1"/>
    <col min="28" max="32" width="4" style="13" customWidth="1"/>
  </cols>
  <sheetData>
    <row r="2" spans="1:32" s="13" customFormat="1" ht="78" customHeight="1" x14ac:dyDescent="0.25">
      <c r="A2" s="178" t="s">
        <v>80</v>
      </c>
      <c r="B2" s="179"/>
      <c r="C2" s="180"/>
      <c r="D2" s="174"/>
      <c r="E2" s="174" t="s">
        <v>104</v>
      </c>
      <c r="F2" s="174" t="s">
        <v>169</v>
      </c>
      <c r="G2" s="174" t="s">
        <v>171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2" t="s">
        <v>82</v>
      </c>
      <c r="AC2" s="176" t="s">
        <v>85</v>
      </c>
      <c r="AD2" s="172" t="s">
        <v>83</v>
      </c>
      <c r="AE2" s="172" t="s">
        <v>84</v>
      </c>
      <c r="AF2" s="172" t="s">
        <v>72</v>
      </c>
    </row>
    <row r="3" spans="1:32" ht="15.75" x14ac:dyDescent="0.25">
      <c r="A3" s="173" t="s">
        <v>1</v>
      </c>
      <c r="B3" s="173"/>
      <c r="C3" s="180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2"/>
      <c r="AC3" s="177"/>
      <c r="AD3" s="172"/>
      <c r="AE3" s="172"/>
      <c r="AF3" s="172"/>
    </row>
    <row r="4" spans="1:32" ht="15.75" x14ac:dyDescent="0.25">
      <c r="A4" s="1" t="s">
        <v>2</v>
      </c>
      <c r="B4" s="1" t="s">
        <v>3</v>
      </c>
      <c r="C4" s="180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24" t="s">
        <v>73</v>
      </c>
      <c r="AC4" s="24" t="s">
        <v>52</v>
      </c>
      <c r="AD4" s="24" t="s">
        <v>79</v>
      </c>
      <c r="AE4" s="24" t="s">
        <v>71</v>
      </c>
      <c r="AF4" s="24" t="s">
        <v>81</v>
      </c>
    </row>
    <row r="5" spans="1:32" ht="15.75" x14ac:dyDescent="0.25">
      <c r="A5" s="2">
        <v>1</v>
      </c>
      <c r="B5" s="9" t="s">
        <v>35</v>
      </c>
      <c r="C5" s="22"/>
      <c r="D5" s="22"/>
      <c r="E5" s="22" t="s">
        <v>73</v>
      </c>
      <c r="F5" s="22" t="s">
        <v>73</v>
      </c>
      <c r="G5" s="22" t="s">
        <v>73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14">
        <f>COUNTIF(C5:AA5,$AB$4)</f>
        <v>3</v>
      </c>
      <c r="AC5" s="14">
        <f>COUNTIF(C5:AA5,$AC$4)</f>
        <v>0</v>
      </c>
      <c r="AD5" s="14">
        <f>COUNTIF(C5:AA5,$AD$4)</f>
        <v>0</v>
      </c>
      <c r="AE5" s="14">
        <f>COUNTIF(C5:AA5,$AE$4)</f>
        <v>0</v>
      </c>
      <c r="AF5" s="25">
        <f>SUM(AB5:AE5)</f>
        <v>3</v>
      </c>
    </row>
    <row r="6" spans="1:32" ht="15.75" x14ac:dyDescent="0.25">
      <c r="A6" s="2">
        <v>2</v>
      </c>
      <c r="B6" s="4" t="s">
        <v>8</v>
      </c>
      <c r="C6" s="22"/>
      <c r="D6" s="22"/>
      <c r="E6" s="22" t="s">
        <v>73</v>
      </c>
      <c r="F6" s="22" t="s">
        <v>73</v>
      </c>
      <c r="G6" s="22" t="s">
        <v>73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14">
        <f>COUNTIF(C6:AA6,$AB$4)</f>
        <v>3</v>
      </c>
      <c r="AC6" s="14">
        <f>COUNTIF(C6:AA6,$AC$4)</f>
        <v>0</v>
      </c>
      <c r="AD6" s="14">
        <f>COUNTIF(C6:AA6,$AD$4)</f>
        <v>0</v>
      </c>
      <c r="AE6" s="14">
        <f>COUNTIF(C6:AA6,$AE$4)</f>
        <v>0</v>
      </c>
      <c r="AF6" s="25">
        <f t="shared" ref="AF6:AF47" si="0">SUM(AB6:AE6)</f>
        <v>3</v>
      </c>
    </row>
    <row r="7" spans="1:32" ht="15.75" x14ac:dyDescent="0.25">
      <c r="A7" s="2">
        <v>3</v>
      </c>
      <c r="B7" s="4" t="s">
        <v>36</v>
      </c>
      <c r="C7" s="22"/>
      <c r="D7" s="22"/>
      <c r="E7" s="22" t="s">
        <v>73</v>
      </c>
      <c r="F7" s="22" t="s">
        <v>73</v>
      </c>
      <c r="G7" s="22" t="s">
        <v>73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14">
        <f>COUNTIF(C7:AA7,$AB$4)</f>
        <v>3</v>
      </c>
      <c r="AC7" s="14">
        <f>COUNTIF(C7:AA7,$AC$4)</f>
        <v>0</v>
      </c>
      <c r="AD7" s="14">
        <f>COUNTIF(C7:AA7,$AD$4)</f>
        <v>0</v>
      </c>
      <c r="AE7" s="14">
        <f>COUNTIF(C7:AA7,$AE$4)</f>
        <v>0</v>
      </c>
      <c r="AF7" s="25">
        <f t="shared" si="0"/>
        <v>3</v>
      </c>
    </row>
    <row r="8" spans="1:32" ht="15.75" x14ac:dyDescent="0.25">
      <c r="A8" s="2">
        <v>4</v>
      </c>
      <c r="B8" s="4" t="s">
        <v>9</v>
      </c>
      <c r="C8" s="22"/>
      <c r="D8" s="22"/>
      <c r="E8" s="22" t="s">
        <v>73</v>
      </c>
      <c r="F8" s="22" t="s">
        <v>73</v>
      </c>
      <c r="G8" s="22" t="s">
        <v>73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14">
        <f>COUNTIF(C8:AA8,$AB$4)</f>
        <v>3</v>
      </c>
      <c r="AC8" s="14">
        <f>COUNTIF(C8:AA8,$AC$4)</f>
        <v>0</v>
      </c>
      <c r="AD8" s="14">
        <f>COUNTIF(C8:AA8,$AD$4)</f>
        <v>0</v>
      </c>
      <c r="AE8" s="14">
        <f>COUNTIF(C8:AA8,$AE$4)</f>
        <v>0</v>
      </c>
      <c r="AF8" s="25">
        <f t="shared" si="0"/>
        <v>3</v>
      </c>
    </row>
    <row r="9" spans="1:32" ht="15.75" x14ac:dyDescent="0.25">
      <c r="A9" s="2">
        <v>5</v>
      </c>
      <c r="B9" s="6" t="s">
        <v>30</v>
      </c>
      <c r="C9" s="22"/>
      <c r="D9" s="22"/>
      <c r="E9" s="22" t="s">
        <v>73</v>
      </c>
      <c r="F9" s="22" t="s">
        <v>73</v>
      </c>
      <c r="G9" s="22" t="s">
        <v>52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14">
        <f>COUNTIF(C9:AA9,$AB$4)</f>
        <v>2</v>
      </c>
      <c r="AC9" s="14">
        <f>COUNTIF(C9:AA9,$AC$4)</f>
        <v>1</v>
      </c>
      <c r="AD9" s="14">
        <f>COUNTIF(C9:AA9,$AD$4)</f>
        <v>0</v>
      </c>
      <c r="AE9" s="14">
        <f>COUNTIF(C9:AA9,$AE$4)</f>
        <v>0</v>
      </c>
      <c r="AF9" s="25">
        <f t="shared" si="0"/>
        <v>3</v>
      </c>
    </row>
    <row r="10" spans="1:32" ht="15.75" x14ac:dyDescent="0.25">
      <c r="A10" s="182" t="s">
        <v>11</v>
      </c>
      <c r="B10" s="183"/>
      <c r="C10" s="62"/>
      <c r="D10" s="62"/>
      <c r="E10" s="62"/>
      <c r="F10" s="62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spans="1:32" ht="15.75" x14ac:dyDescent="0.25">
      <c r="A11" s="2">
        <v>1</v>
      </c>
      <c r="B11" s="4" t="s">
        <v>33</v>
      </c>
      <c r="C11" s="22"/>
      <c r="D11" s="22"/>
      <c r="E11" s="22" t="s">
        <v>73</v>
      </c>
      <c r="F11" s="22" t="s">
        <v>73</v>
      </c>
      <c r="G11" s="22" t="s">
        <v>73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14">
        <f t="shared" ref="AB11:AB26" si="1">COUNTIF(C11:AA11,$AB$4)</f>
        <v>3</v>
      </c>
      <c r="AC11" s="14">
        <f t="shared" ref="AC11:AC26" si="2">COUNTIF(C11:AA11,$AC$4)</f>
        <v>0</v>
      </c>
      <c r="AD11" s="14">
        <f t="shared" ref="AD11:AD26" si="3">COUNTIF(C11:AA11,$AD$4)</f>
        <v>0</v>
      </c>
      <c r="AE11" s="14">
        <f t="shared" ref="AE11:AE26" si="4">COUNTIF(C11:AA11,$AE$4)</f>
        <v>0</v>
      </c>
      <c r="AF11" s="25">
        <f t="shared" si="0"/>
        <v>3</v>
      </c>
    </row>
    <row r="12" spans="1:32" ht="15.75" x14ac:dyDescent="0.25">
      <c r="A12" s="2">
        <v>2</v>
      </c>
      <c r="B12" s="4" t="s">
        <v>40</v>
      </c>
      <c r="C12" s="22"/>
      <c r="D12" s="22"/>
      <c r="E12" s="22" t="s">
        <v>73</v>
      </c>
      <c r="F12" s="22" t="s">
        <v>52</v>
      </c>
      <c r="G12" s="22" t="s">
        <v>52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14">
        <f t="shared" si="1"/>
        <v>1</v>
      </c>
      <c r="AC12" s="14">
        <f t="shared" si="2"/>
        <v>2</v>
      </c>
      <c r="AD12" s="14">
        <f t="shared" si="3"/>
        <v>0</v>
      </c>
      <c r="AE12" s="22">
        <f t="shared" si="4"/>
        <v>0</v>
      </c>
      <c r="AF12" s="25">
        <f t="shared" si="0"/>
        <v>3</v>
      </c>
    </row>
    <row r="13" spans="1:32" ht="15.75" x14ac:dyDescent="0.25">
      <c r="A13" s="2">
        <v>3</v>
      </c>
      <c r="B13" s="4" t="s">
        <v>31</v>
      </c>
      <c r="C13" s="22"/>
      <c r="D13" s="22"/>
      <c r="E13" s="22" t="s">
        <v>73</v>
      </c>
      <c r="F13" s="22" t="s">
        <v>73</v>
      </c>
      <c r="G13" s="22" t="s">
        <v>52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14">
        <f t="shared" si="1"/>
        <v>2</v>
      </c>
      <c r="AC13" s="14">
        <f t="shared" si="2"/>
        <v>1</v>
      </c>
      <c r="AD13" s="14">
        <f t="shared" si="3"/>
        <v>0</v>
      </c>
      <c r="AE13" s="14">
        <f t="shared" si="4"/>
        <v>0</v>
      </c>
      <c r="AF13" s="25">
        <f t="shared" si="0"/>
        <v>3</v>
      </c>
    </row>
    <row r="14" spans="1:32" ht="15.75" x14ac:dyDescent="0.25">
      <c r="A14" s="2">
        <v>4</v>
      </c>
      <c r="B14" s="6" t="s">
        <v>100</v>
      </c>
      <c r="C14" s="22"/>
      <c r="D14" s="22"/>
      <c r="E14" s="22" t="s">
        <v>73</v>
      </c>
      <c r="F14" s="22" t="s">
        <v>73</v>
      </c>
      <c r="G14" s="22" t="s">
        <v>73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14">
        <f t="shared" si="1"/>
        <v>3</v>
      </c>
      <c r="AC14" s="14">
        <f t="shared" si="2"/>
        <v>0</v>
      </c>
      <c r="AD14" s="14">
        <f t="shared" si="3"/>
        <v>0</v>
      </c>
      <c r="AE14" s="14">
        <f t="shared" si="4"/>
        <v>0</v>
      </c>
      <c r="AF14" s="25">
        <f t="shared" si="0"/>
        <v>3</v>
      </c>
    </row>
    <row r="15" spans="1:32" ht="15.75" x14ac:dyDescent="0.25">
      <c r="A15" s="2">
        <v>5</v>
      </c>
      <c r="B15" s="8" t="s">
        <v>15</v>
      </c>
      <c r="C15" s="22"/>
      <c r="D15" s="22"/>
      <c r="E15" s="22" t="s">
        <v>73</v>
      </c>
      <c r="F15" s="22" t="s">
        <v>79</v>
      </c>
      <c r="G15" s="22" t="s">
        <v>73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14">
        <f t="shared" si="1"/>
        <v>2</v>
      </c>
      <c r="AC15" s="14">
        <f t="shared" si="2"/>
        <v>0</v>
      </c>
      <c r="AD15" s="14">
        <f t="shared" si="3"/>
        <v>1</v>
      </c>
      <c r="AE15" s="14">
        <f t="shared" si="4"/>
        <v>0</v>
      </c>
      <c r="AF15" s="25">
        <f t="shared" si="0"/>
        <v>3</v>
      </c>
    </row>
    <row r="16" spans="1:32" ht="15.75" x14ac:dyDescent="0.25">
      <c r="A16" s="2">
        <v>6</v>
      </c>
      <c r="B16" s="4" t="s">
        <v>122</v>
      </c>
      <c r="C16" s="22"/>
      <c r="D16" s="22"/>
      <c r="E16" s="22" t="s">
        <v>52</v>
      </c>
      <c r="F16" s="22" t="s">
        <v>73</v>
      </c>
      <c r="G16" s="22" t="s">
        <v>52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14">
        <f t="shared" si="1"/>
        <v>1</v>
      </c>
      <c r="AC16" s="14">
        <f t="shared" si="2"/>
        <v>2</v>
      </c>
      <c r="AD16" s="14">
        <f t="shared" si="3"/>
        <v>0</v>
      </c>
      <c r="AE16" s="14">
        <f t="shared" si="4"/>
        <v>0</v>
      </c>
      <c r="AF16" s="25">
        <f t="shared" si="0"/>
        <v>3</v>
      </c>
    </row>
    <row r="17" spans="1:32" ht="15.75" x14ac:dyDescent="0.25">
      <c r="A17" s="2">
        <v>7</v>
      </c>
      <c r="B17" s="5" t="s">
        <v>14</v>
      </c>
      <c r="C17" s="22"/>
      <c r="D17" s="22"/>
      <c r="E17" s="70"/>
      <c r="F17" s="22" t="s">
        <v>73</v>
      </c>
      <c r="G17" s="22" t="s">
        <v>73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14">
        <f t="shared" si="1"/>
        <v>2</v>
      </c>
      <c r="AC17" s="14">
        <f t="shared" si="2"/>
        <v>0</v>
      </c>
      <c r="AD17" s="14">
        <f t="shared" si="3"/>
        <v>0</v>
      </c>
      <c r="AE17" s="14">
        <f t="shared" si="4"/>
        <v>0</v>
      </c>
      <c r="AF17" s="25">
        <f t="shared" si="0"/>
        <v>2</v>
      </c>
    </row>
    <row r="18" spans="1:32" ht="15.75" x14ac:dyDescent="0.25">
      <c r="A18" s="2">
        <v>8</v>
      </c>
      <c r="B18" s="5" t="s">
        <v>172</v>
      </c>
      <c r="C18" s="22"/>
      <c r="D18" s="22"/>
      <c r="E18" s="70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14"/>
      <c r="AC18" s="14"/>
      <c r="AD18" s="14"/>
      <c r="AE18" s="14"/>
      <c r="AF18" s="25"/>
    </row>
    <row r="19" spans="1:32" ht="15.75" x14ac:dyDescent="0.25">
      <c r="A19" s="2">
        <v>9</v>
      </c>
      <c r="B19" s="4" t="s">
        <v>49</v>
      </c>
      <c r="C19" s="22"/>
      <c r="D19" s="22"/>
      <c r="E19" s="22" t="s">
        <v>73</v>
      </c>
      <c r="F19" s="22" t="s">
        <v>73</v>
      </c>
      <c r="G19" s="22" t="s">
        <v>73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14">
        <f t="shared" si="1"/>
        <v>3</v>
      </c>
      <c r="AC19" s="14">
        <f t="shared" si="2"/>
        <v>0</v>
      </c>
      <c r="AD19" s="14">
        <f t="shared" si="3"/>
        <v>0</v>
      </c>
      <c r="AE19" s="14">
        <f t="shared" si="4"/>
        <v>0</v>
      </c>
      <c r="AF19" s="25">
        <f t="shared" si="0"/>
        <v>3</v>
      </c>
    </row>
    <row r="20" spans="1:32" ht="15.75" x14ac:dyDescent="0.25">
      <c r="A20" s="2">
        <v>10</v>
      </c>
      <c r="B20" s="6" t="s">
        <v>12</v>
      </c>
      <c r="C20" s="22"/>
      <c r="D20" s="22"/>
      <c r="E20" s="22" t="s">
        <v>73</v>
      </c>
      <c r="F20" s="22" t="s">
        <v>73</v>
      </c>
      <c r="G20" s="22" t="s">
        <v>73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14">
        <f t="shared" si="1"/>
        <v>3</v>
      </c>
      <c r="AC20" s="14">
        <f t="shared" si="2"/>
        <v>0</v>
      </c>
      <c r="AD20" s="14">
        <f t="shared" si="3"/>
        <v>0</v>
      </c>
      <c r="AE20" s="14">
        <f t="shared" si="4"/>
        <v>0</v>
      </c>
      <c r="AF20" s="25">
        <f t="shared" si="0"/>
        <v>3</v>
      </c>
    </row>
    <row r="21" spans="1:32" ht="15.75" x14ac:dyDescent="0.25">
      <c r="A21" s="2">
        <v>11</v>
      </c>
      <c r="B21" s="4" t="s">
        <v>101</v>
      </c>
      <c r="C21" s="22"/>
      <c r="D21" s="22"/>
      <c r="E21" s="22" t="s">
        <v>73</v>
      </c>
      <c r="F21" s="22" t="s">
        <v>73</v>
      </c>
      <c r="G21" s="22" t="s">
        <v>73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14">
        <f t="shared" si="1"/>
        <v>3</v>
      </c>
      <c r="AC21" s="14">
        <f t="shared" si="2"/>
        <v>0</v>
      </c>
      <c r="AD21" s="14">
        <f t="shared" si="3"/>
        <v>0</v>
      </c>
      <c r="AE21" s="14">
        <f t="shared" si="4"/>
        <v>0</v>
      </c>
      <c r="AF21" s="25">
        <f t="shared" si="0"/>
        <v>3</v>
      </c>
    </row>
    <row r="22" spans="1:32" ht="15.75" x14ac:dyDescent="0.25">
      <c r="A22" s="2">
        <v>12</v>
      </c>
      <c r="B22" s="4" t="s">
        <v>29</v>
      </c>
      <c r="C22" s="22"/>
      <c r="D22" s="22"/>
      <c r="E22" s="22" t="s">
        <v>73</v>
      </c>
      <c r="F22" s="22" t="s">
        <v>73</v>
      </c>
      <c r="G22" s="22" t="s">
        <v>73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14">
        <f t="shared" si="1"/>
        <v>3</v>
      </c>
      <c r="AC22" s="14">
        <f t="shared" si="2"/>
        <v>0</v>
      </c>
      <c r="AD22" s="14">
        <f t="shared" si="3"/>
        <v>0</v>
      </c>
      <c r="AE22" s="14">
        <f t="shared" si="4"/>
        <v>0</v>
      </c>
      <c r="AF22" s="25">
        <f t="shared" si="0"/>
        <v>3</v>
      </c>
    </row>
    <row r="23" spans="1:32" ht="15.75" x14ac:dyDescent="0.25">
      <c r="A23" s="2">
        <v>13</v>
      </c>
      <c r="B23" s="6" t="s">
        <v>99</v>
      </c>
      <c r="C23" s="22"/>
      <c r="D23" s="22"/>
      <c r="E23" s="22" t="s">
        <v>73</v>
      </c>
      <c r="F23" s="22" t="s">
        <v>73</v>
      </c>
      <c r="G23" s="22" t="s">
        <v>73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14">
        <f t="shared" si="1"/>
        <v>3</v>
      </c>
      <c r="AC23" s="14">
        <f t="shared" si="2"/>
        <v>0</v>
      </c>
      <c r="AD23" s="14">
        <f t="shared" si="3"/>
        <v>0</v>
      </c>
      <c r="AE23" s="14">
        <f t="shared" si="4"/>
        <v>0</v>
      </c>
      <c r="AF23" s="25">
        <f t="shared" si="0"/>
        <v>3</v>
      </c>
    </row>
    <row r="24" spans="1:32" ht="15.75" x14ac:dyDescent="0.25">
      <c r="A24" s="2">
        <v>14</v>
      </c>
      <c r="B24" s="8" t="s">
        <v>32</v>
      </c>
      <c r="C24" s="22"/>
      <c r="D24" s="22"/>
      <c r="E24" s="22" t="s">
        <v>73</v>
      </c>
      <c r="F24" s="22" t="s">
        <v>52</v>
      </c>
      <c r="G24" s="22" t="s">
        <v>73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14">
        <f t="shared" si="1"/>
        <v>2</v>
      </c>
      <c r="AC24" s="14">
        <f t="shared" si="2"/>
        <v>1</v>
      </c>
      <c r="AD24" s="14">
        <f t="shared" si="3"/>
        <v>0</v>
      </c>
      <c r="AE24" s="14">
        <f t="shared" si="4"/>
        <v>0</v>
      </c>
      <c r="AF24" s="25">
        <f t="shared" si="0"/>
        <v>3</v>
      </c>
    </row>
    <row r="25" spans="1:32" ht="15.75" x14ac:dyDescent="0.25">
      <c r="A25" s="2">
        <v>15</v>
      </c>
      <c r="B25" s="8" t="s">
        <v>41</v>
      </c>
      <c r="C25" s="22"/>
      <c r="D25" s="22"/>
      <c r="E25" s="22" t="s">
        <v>73</v>
      </c>
      <c r="F25" s="22" t="s">
        <v>73</v>
      </c>
      <c r="G25" s="22" t="s">
        <v>73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14">
        <f t="shared" si="1"/>
        <v>3</v>
      </c>
      <c r="AC25" s="14">
        <f t="shared" si="2"/>
        <v>0</v>
      </c>
      <c r="AD25" s="14">
        <f t="shared" si="3"/>
        <v>0</v>
      </c>
      <c r="AE25" s="14">
        <f t="shared" si="4"/>
        <v>0</v>
      </c>
      <c r="AF25" s="25">
        <f t="shared" si="0"/>
        <v>3</v>
      </c>
    </row>
    <row r="26" spans="1:32" ht="15.75" x14ac:dyDescent="0.25">
      <c r="A26" s="2">
        <v>16</v>
      </c>
      <c r="B26" s="8" t="s">
        <v>39</v>
      </c>
      <c r="C26" s="22"/>
      <c r="D26" s="22"/>
      <c r="E26" s="22" t="s">
        <v>73</v>
      </c>
      <c r="F26" s="22" t="s">
        <v>73</v>
      </c>
      <c r="G26" s="22" t="s">
        <v>73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4">
        <f t="shared" si="1"/>
        <v>3</v>
      </c>
      <c r="AC26" s="14">
        <f t="shared" si="2"/>
        <v>0</v>
      </c>
      <c r="AD26" s="14">
        <f t="shared" si="3"/>
        <v>0</v>
      </c>
      <c r="AE26" s="14">
        <f t="shared" si="4"/>
        <v>0</v>
      </c>
      <c r="AF26" s="25">
        <f t="shared" si="0"/>
        <v>3</v>
      </c>
    </row>
    <row r="27" spans="1:32" ht="15.75" x14ac:dyDescent="0.25">
      <c r="A27" s="2">
        <v>17</v>
      </c>
      <c r="B27" s="8" t="s">
        <v>38</v>
      </c>
      <c r="C27" s="22"/>
      <c r="D27" s="22"/>
      <c r="E27" s="70"/>
      <c r="F27" s="22" t="s">
        <v>73</v>
      </c>
      <c r="G27" s="22" t="s">
        <v>73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4">
        <f t="shared" ref="AB27:AB28" si="5">COUNTIF(C27:AA27,$AB$4)</f>
        <v>2</v>
      </c>
      <c r="AC27" s="14">
        <f t="shared" ref="AC27:AC28" si="6">COUNTIF(C27:AA27,$AC$4)</f>
        <v>0</v>
      </c>
      <c r="AD27" s="14">
        <f t="shared" ref="AD27:AD28" si="7">COUNTIF(C27:AA27,$AD$4)</f>
        <v>0</v>
      </c>
      <c r="AE27" s="14">
        <f t="shared" ref="AE27:AE28" si="8">COUNTIF(C27:AA27,$AE$4)</f>
        <v>0</v>
      </c>
      <c r="AF27" s="25">
        <f t="shared" ref="AF27:AF28" si="9">SUM(AB27:AE27)</f>
        <v>2</v>
      </c>
    </row>
    <row r="28" spans="1:32" ht="15.75" x14ac:dyDescent="0.25">
      <c r="A28" s="2">
        <v>18</v>
      </c>
      <c r="B28" s="8" t="s">
        <v>75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4">
        <f t="shared" si="5"/>
        <v>0</v>
      </c>
      <c r="AC28" s="14">
        <f t="shared" si="6"/>
        <v>0</v>
      </c>
      <c r="AD28" s="14">
        <f t="shared" si="7"/>
        <v>0</v>
      </c>
      <c r="AE28" s="14">
        <f t="shared" si="8"/>
        <v>0</v>
      </c>
      <c r="AF28" s="25">
        <f t="shared" si="9"/>
        <v>0</v>
      </c>
    </row>
    <row r="29" spans="1:32" ht="15.75" x14ac:dyDescent="0.25">
      <c r="A29" s="181" t="s">
        <v>17</v>
      </c>
      <c r="B29" s="181"/>
      <c r="C29" s="62"/>
      <c r="D29" s="62"/>
      <c r="E29" s="62"/>
      <c r="F29" s="62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15.75" x14ac:dyDescent="0.25">
      <c r="A30" s="2">
        <v>1</v>
      </c>
      <c r="B30" s="4" t="s">
        <v>70</v>
      </c>
      <c r="C30" s="22"/>
      <c r="D30" s="22"/>
      <c r="E30" s="22" t="s">
        <v>73</v>
      </c>
      <c r="F30" s="22" t="s">
        <v>73</v>
      </c>
      <c r="G30" s="22" t="s">
        <v>73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14">
        <f t="shared" ref="AB30:AB37" si="10">COUNTIF(C30:AA30,$AB$4)</f>
        <v>3</v>
      </c>
      <c r="AC30" s="14">
        <f t="shared" ref="AC30:AC37" si="11">COUNTIF(C30:AA30,$AC$4)</f>
        <v>0</v>
      </c>
      <c r="AD30" s="14">
        <f t="shared" ref="AD30:AD37" si="12">COUNTIF(C30:AA30,$AD$4)</f>
        <v>0</v>
      </c>
      <c r="AE30" s="14">
        <f t="shared" ref="AE30:AE37" si="13">COUNTIF(C30:AA30,$AE$4)</f>
        <v>0</v>
      </c>
      <c r="AF30" s="25">
        <f t="shared" si="0"/>
        <v>3</v>
      </c>
    </row>
    <row r="31" spans="1:32" ht="15.75" x14ac:dyDescent="0.25">
      <c r="A31" s="2">
        <v>2</v>
      </c>
      <c r="B31" s="4" t="s">
        <v>78</v>
      </c>
      <c r="C31" s="22"/>
      <c r="D31" s="22"/>
      <c r="E31" s="22" t="s">
        <v>73</v>
      </c>
      <c r="F31" s="22" t="s">
        <v>73</v>
      </c>
      <c r="G31" s="22" t="s">
        <v>73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14">
        <f t="shared" si="10"/>
        <v>3</v>
      </c>
      <c r="AC31" s="14">
        <f t="shared" si="11"/>
        <v>0</v>
      </c>
      <c r="AD31" s="14">
        <f t="shared" si="12"/>
        <v>0</v>
      </c>
      <c r="AE31" s="14">
        <f t="shared" si="13"/>
        <v>0</v>
      </c>
      <c r="AF31" s="25">
        <f t="shared" si="0"/>
        <v>3</v>
      </c>
    </row>
    <row r="32" spans="1:32" ht="15.75" x14ac:dyDescent="0.25">
      <c r="A32" s="2">
        <v>3</v>
      </c>
      <c r="B32" s="4" t="s">
        <v>28</v>
      </c>
      <c r="C32" s="22"/>
      <c r="D32" s="22"/>
      <c r="E32" s="22" t="s">
        <v>73</v>
      </c>
      <c r="F32" s="22" t="s">
        <v>73</v>
      </c>
      <c r="G32" s="22" t="s">
        <v>73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14">
        <f t="shared" si="10"/>
        <v>3</v>
      </c>
      <c r="AC32" s="14">
        <f t="shared" si="11"/>
        <v>0</v>
      </c>
      <c r="AD32" s="14">
        <f t="shared" si="12"/>
        <v>0</v>
      </c>
      <c r="AE32" s="14">
        <f t="shared" si="13"/>
        <v>0</v>
      </c>
      <c r="AF32" s="25">
        <f t="shared" si="0"/>
        <v>3</v>
      </c>
    </row>
    <row r="33" spans="1:32" ht="15.75" x14ac:dyDescent="0.25">
      <c r="A33" s="2">
        <v>4</v>
      </c>
      <c r="B33" s="4" t="s">
        <v>68</v>
      </c>
      <c r="C33" s="22"/>
      <c r="D33" s="22"/>
      <c r="E33" s="22" t="s">
        <v>73</v>
      </c>
      <c r="F33" s="22" t="s">
        <v>73</v>
      </c>
      <c r="G33" s="22" t="s">
        <v>73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14">
        <f t="shared" si="10"/>
        <v>3</v>
      </c>
      <c r="AC33" s="14">
        <f t="shared" si="11"/>
        <v>0</v>
      </c>
      <c r="AD33" s="14">
        <f t="shared" si="12"/>
        <v>0</v>
      </c>
      <c r="AE33" s="14">
        <f t="shared" si="13"/>
        <v>0</v>
      </c>
      <c r="AF33" s="25">
        <f t="shared" si="0"/>
        <v>3</v>
      </c>
    </row>
    <row r="34" spans="1:32" ht="15.75" x14ac:dyDescent="0.25">
      <c r="A34" s="2">
        <v>5</v>
      </c>
      <c r="B34" s="10" t="s">
        <v>153</v>
      </c>
      <c r="C34" s="22"/>
      <c r="D34" s="22"/>
      <c r="E34" s="70"/>
      <c r="F34" s="22" t="s">
        <v>73</v>
      </c>
      <c r="G34" s="22" t="s">
        <v>73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14">
        <f t="shared" si="10"/>
        <v>2</v>
      </c>
      <c r="AC34" s="14">
        <f t="shared" si="11"/>
        <v>0</v>
      </c>
      <c r="AD34" s="14">
        <f t="shared" si="12"/>
        <v>0</v>
      </c>
      <c r="AE34" s="14">
        <f t="shared" si="13"/>
        <v>0</v>
      </c>
      <c r="AF34" s="25">
        <f t="shared" si="0"/>
        <v>2</v>
      </c>
    </row>
    <row r="35" spans="1:32" ht="15.75" x14ac:dyDescent="0.25">
      <c r="A35" s="2">
        <v>6</v>
      </c>
      <c r="B35" s="4" t="s">
        <v>154</v>
      </c>
      <c r="C35" s="22"/>
      <c r="D35" s="22"/>
      <c r="E35" s="70"/>
      <c r="F35" s="22" t="s">
        <v>73</v>
      </c>
      <c r="G35" s="22" t="s">
        <v>73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14">
        <f t="shared" si="10"/>
        <v>2</v>
      </c>
      <c r="AC35" s="14">
        <f t="shared" si="11"/>
        <v>0</v>
      </c>
      <c r="AD35" s="14">
        <f t="shared" si="12"/>
        <v>0</v>
      </c>
      <c r="AE35" s="14">
        <f t="shared" si="13"/>
        <v>0</v>
      </c>
      <c r="AF35" s="25">
        <f t="shared" si="0"/>
        <v>2</v>
      </c>
    </row>
    <row r="36" spans="1:32" ht="15.75" x14ac:dyDescent="0.25">
      <c r="A36" s="2">
        <v>7</v>
      </c>
      <c r="B36" s="4" t="s">
        <v>19</v>
      </c>
      <c r="C36" s="22"/>
      <c r="D36" s="22"/>
      <c r="E36" s="22" t="s">
        <v>73</v>
      </c>
      <c r="F36" s="22" t="s">
        <v>73</v>
      </c>
      <c r="G36" s="22" t="s">
        <v>73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14">
        <f t="shared" si="10"/>
        <v>3</v>
      </c>
      <c r="AC36" s="14">
        <f t="shared" si="11"/>
        <v>0</v>
      </c>
      <c r="AD36" s="14">
        <f t="shared" si="12"/>
        <v>0</v>
      </c>
      <c r="AE36" s="14">
        <f t="shared" si="13"/>
        <v>0</v>
      </c>
      <c r="AF36" s="25">
        <f t="shared" si="0"/>
        <v>3</v>
      </c>
    </row>
    <row r="37" spans="1:32" ht="15.75" x14ac:dyDescent="0.25">
      <c r="A37" s="2">
        <v>8</v>
      </c>
      <c r="B37" s="4" t="s">
        <v>18</v>
      </c>
      <c r="C37" s="22"/>
      <c r="D37" s="22"/>
      <c r="E37" s="22" t="s">
        <v>73</v>
      </c>
      <c r="F37" s="22" t="s">
        <v>73</v>
      </c>
      <c r="G37" s="22" t="s">
        <v>73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14">
        <f t="shared" si="10"/>
        <v>3</v>
      </c>
      <c r="AC37" s="14">
        <f t="shared" si="11"/>
        <v>0</v>
      </c>
      <c r="AD37" s="14">
        <f t="shared" si="12"/>
        <v>0</v>
      </c>
      <c r="AE37" s="14">
        <f t="shared" si="13"/>
        <v>0</v>
      </c>
      <c r="AF37" s="25">
        <f t="shared" si="0"/>
        <v>3</v>
      </c>
    </row>
    <row r="38" spans="1:32" ht="15.75" x14ac:dyDescent="0.25">
      <c r="A38" s="2"/>
      <c r="B38" s="4" t="s">
        <v>102</v>
      </c>
      <c r="C38" s="22"/>
      <c r="D38" s="22"/>
      <c r="E38" s="22" t="s">
        <v>73</v>
      </c>
      <c r="F38" s="22" t="s">
        <v>73</v>
      </c>
      <c r="G38" s="22" t="s">
        <v>73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14">
        <f t="shared" ref="AB38:AB39" si="14">COUNTIF(C38:AA38,$AB$4)</f>
        <v>3</v>
      </c>
      <c r="AC38" s="14">
        <f t="shared" ref="AC38:AC39" si="15">COUNTIF(C38:AA38,$AC$4)</f>
        <v>0</v>
      </c>
      <c r="AD38" s="14">
        <f t="shared" ref="AD38:AD39" si="16">COUNTIF(C38:AA38,$AD$4)</f>
        <v>0</v>
      </c>
      <c r="AE38" s="14">
        <f t="shared" ref="AE38:AE39" si="17">COUNTIF(C38:AA38,$AE$4)</f>
        <v>0</v>
      </c>
      <c r="AF38" s="25">
        <f t="shared" ref="AF38:AF39" si="18">SUM(AB38:AE38)</f>
        <v>3</v>
      </c>
    </row>
    <row r="39" spans="1:32" ht="15.75" x14ac:dyDescent="0.25">
      <c r="A39" s="2"/>
      <c r="B39" s="4" t="s">
        <v>67</v>
      </c>
      <c r="C39" s="22"/>
      <c r="D39" s="22"/>
      <c r="E39" s="22" t="s">
        <v>73</v>
      </c>
      <c r="F39" s="22" t="s">
        <v>73</v>
      </c>
      <c r="G39" s="22" t="s">
        <v>73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14">
        <f t="shared" si="14"/>
        <v>3</v>
      </c>
      <c r="AC39" s="14">
        <f t="shared" si="15"/>
        <v>0</v>
      </c>
      <c r="AD39" s="14">
        <f t="shared" si="16"/>
        <v>0</v>
      </c>
      <c r="AE39" s="14">
        <f t="shared" si="17"/>
        <v>0</v>
      </c>
      <c r="AF39" s="25">
        <f t="shared" si="18"/>
        <v>3</v>
      </c>
    </row>
    <row r="40" spans="1:32" ht="15.75" x14ac:dyDescent="0.25">
      <c r="A40" s="173" t="s">
        <v>20</v>
      </c>
      <c r="B40" s="173"/>
      <c r="C40" s="62"/>
      <c r="D40" s="62"/>
      <c r="E40" s="62"/>
      <c r="F40" s="6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15.75" x14ac:dyDescent="0.25">
      <c r="A41" s="7">
        <v>1</v>
      </c>
      <c r="B41" s="4" t="s">
        <v>21</v>
      </c>
      <c r="C41" s="22"/>
      <c r="D41" s="22"/>
      <c r="E41" s="22" t="s">
        <v>52</v>
      </c>
      <c r="F41" s="22" t="s">
        <v>73</v>
      </c>
      <c r="G41" s="22" t="s">
        <v>73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4">
        <f t="shared" ref="AB41:AB47" si="19">COUNTIF(C41:AA41,$AB$4)</f>
        <v>2</v>
      </c>
      <c r="AC41" s="14">
        <f t="shared" ref="AC41:AC47" si="20">COUNTIF(C41:AA41,$AC$4)</f>
        <v>1</v>
      </c>
      <c r="AD41" s="14">
        <f t="shared" ref="AD41:AD47" si="21">COUNTIF(C41:AA41,$AD$4)</f>
        <v>0</v>
      </c>
      <c r="AE41" s="14">
        <f t="shared" ref="AE41:AE47" si="22">COUNTIF(C41:AA41,$AE$4)</f>
        <v>0</v>
      </c>
      <c r="AF41" s="25">
        <f t="shared" si="0"/>
        <v>3</v>
      </c>
    </row>
    <row r="42" spans="1:32" ht="15.75" x14ac:dyDescent="0.25">
      <c r="A42" s="7">
        <v>2</v>
      </c>
      <c r="B42" s="4" t="s">
        <v>23</v>
      </c>
      <c r="C42" s="22"/>
      <c r="D42" s="22"/>
      <c r="E42" s="22" t="s">
        <v>52</v>
      </c>
      <c r="F42" s="22" t="s">
        <v>73</v>
      </c>
      <c r="G42" s="22" t="s">
        <v>52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14">
        <f t="shared" si="19"/>
        <v>1</v>
      </c>
      <c r="AC42" s="14">
        <f t="shared" si="20"/>
        <v>2</v>
      </c>
      <c r="AD42" s="14">
        <f t="shared" si="21"/>
        <v>0</v>
      </c>
      <c r="AE42" s="14">
        <f t="shared" si="22"/>
        <v>0</v>
      </c>
      <c r="AF42" s="25">
        <f t="shared" si="0"/>
        <v>3</v>
      </c>
    </row>
    <row r="43" spans="1:32" ht="15.75" x14ac:dyDescent="0.25">
      <c r="A43" s="7">
        <v>3</v>
      </c>
      <c r="B43" s="4" t="s">
        <v>26</v>
      </c>
      <c r="C43" s="22"/>
      <c r="D43" s="22"/>
      <c r="E43" s="22" t="s">
        <v>52</v>
      </c>
      <c r="F43" s="22" t="s">
        <v>73</v>
      </c>
      <c r="G43" s="22" t="s">
        <v>52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14">
        <f t="shared" si="19"/>
        <v>1</v>
      </c>
      <c r="AC43" s="14">
        <f t="shared" si="20"/>
        <v>2</v>
      </c>
      <c r="AD43" s="14">
        <f t="shared" si="21"/>
        <v>0</v>
      </c>
      <c r="AE43" s="14">
        <f t="shared" si="22"/>
        <v>0</v>
      </c>
      <c r="AF43" s="25">
        <f t="shared" si="0"/>
        <v>3</v>
      </c>
    </row>
    <row r="44" spans="1:32" ht="15.75" x14ac:dyDescent="0.25">
      <c r="A44" s="7">
        <v>4</v>
      </c>
      <c r="B44" s="4" t="s">
        <v>27</v>
      </c>
      <c r="C44" s="22"/>
      <c r="D44" s="22"/>
      <c r="E44" s="22" t="s">
        <v>73</v>
      </c>
      <c r="F44" s="22" t="s">
        <v>73</v>
      </c>
      <c r="G44" s="22" t="s">
        <v>73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14">
        <f t="shared" si="19"/>
        <v>3</v>
      </c>
      <c r="AC44" s="14">
        <f t="shared" si="20"/>
        <v>0</v>
      </c>
      <c r="AD44" s="14">
        <f t="shared" si="21"/>
        <v>0</v>
      </c>
      <c r="AE44" s="14">
        <f t="shared" si="22"/>
        <v>0</v>
      </c>
      <c r="AF44" s="25">
        <f t="shared" si="0"/>
        <v>3</v>
      </c>
    </row>
    <row r="45" spans="1:32" ht="15.75" x14ac:dyDescent="0.25">
      <c r="A45" s="7">
        <v>5</v>
      </c>
      <c r="B45" s="4" t="s">
        <v>25</v>
      </c>
      <c r="C45" s="22"/>
      <c r="D45" s="22"/>
      <c r="E45" s="22" t="s">
        <v>52</v>
      </c>
      <c r="F45" s="22" t="s">
        <v>73</v>
      </c>
      <c r="G45" s="22" t="s">
        <v>52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14">
        <f t="shared" si="19"/>
        <v>1</v>
      </c>
      <c r="AC45" s="14">
        <f t="shared" si="20"/>
        <v>2</v>
      </c>
      <c r="AD45" s="14">
        <f t="shared" si="21"/>
        <v>0</v>
      </c>
      <c r="AE45" s="14">
        <f t="shared" si="22"/>
        <v>0</v>
      </c>
      <c r="AF45" s="25">
        <f t="shared" si="0"/>
        <v>3</v>
      </c>
    </row>
    <row r="46" spans="1:32" ht="15.75" x14ac:dyDescent="0.25">
      <c r="A46" s="7">
        <v>6</v>
      </c>
      <c r="B46" s="4" t="s">
        <v>22</v>
      </c>
      <c r="C46" s="22"/>
      <c r="D46" s="22"/>
      <c r="E46" s="22" t="s">
        <v>79</v>
      </c>
      <c r="F46" s="22" t="s">
        <v>52</v>
      </c>
      <c r="G46" s="22" t="s">
        <v>73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14">
        <f t="shared" si="19"/>
        <v>1</v>
      </c>
      <c r="AC46" s="14">
        <f t="shared" si="20"/>
        <v>1</v>
      </c>
      <c r="AD46" s="14">
        <f t="shared" si="21"/>
        <v>1</v>
      </c>
      <c r="AE46" s="14">
        <f t="shared" si="22"/>
        <v>0</v>
      </c>
      <c r="AF46" s="25">
        <f t="shared" si="0"/>
        <v>3</v>
      </c>
    </row>
    <row r="47" spans="1:32" ht="15.75" x14ac:dyDescent="0.25">
      <c r="A47" s="7">
        <v>7</v>
      </c>
      <c r="B47" s="4" t="s">
        <v>24</v>
      </c>
      <c r="C47" s="22"/>
      <c r="D47" s="22"/>
      <c r="E47" s="22" t="s">
        <v>52</v>
      </c>
      <c r="F47" s="22" t="s">
        <v>52</v>
      </c>
      <c r="G47" s="22" t="s">
        <v>52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14">
        <f t="shared" si="19"/>
        <v>0</v>
      </c>
      <c r="AC47" s="14">
        <f t="shared" si="20"/>
        <v>3</v>
      </c>
      <c r="AD47" s="14">
        <f t="shared" si="21"/>
        <v>0</v>
      </c>
      <c r="AE47" s="14">
        <f t="shared" si="22"/>
        <v>0</v>
      </c>
      <c r="AF47" s="25">
        <f t="shared" si="0"/>
        <v>3</v>
      </c>
    </row>
    <row r="48" spans="1:32" ht="15.75" x14ac:dyDescent="0.25">
      <c r="A48" s="26"/>
      <c r="B48" s="15" t="s">
        <v>82</v>
      </c>
      <c r="C48" s="24" t="s">
        <v>73</v>
      </c>
      <c r="D48" s="42">
        <f t="shared" ref="D48:AA48" si="23">COUNTIF(D5:D47,$C$48)</f>
        <v>0</v>
      </c>
      <c r="E48" s="42">
        <f t="shared" si="23"/>
        <v>27</v>
      </c>
      <c r="F48" s="94">
        <f t="shared" si="23"/>
        <v>33</v>
      </c>
      <c r="G48" s="94">
        <f t="shared" si="23"/>
        <v>30</v>
      </c>
      <c r="H48" s="94">
        <f t="shared" si="23"/>
        <v>0</v>
      </c>
      <c r="I48" s="94">
        <f t="shared" si="23"/>
        <v>0</v>
      </c>
      <c r="J48" s="94">
        <f t="shared" si="23"/>
        <v>0</v>
      </c>
      <c r="K48" s="94">
        <f t="shared" si="23"/>
        <v>0</v>
      </c>
      <c r="L48" s="94">
        <f t="shared" si="23"/>
        <v>0</v>
      </c>
      <c r="M48" s="94">
        <f t="shared" si="23"/>
        <v>0</v>
      </c>
      <c r="N48" s="94">
        <f t="shared" si="23"/>
        <v>0</v>
      </c>
      <c r="O48" s="94">
        <f t="shared" si="23"/>
        <v>0</v>
      </c>
      <c r="P48" s="94">
        <f t="shared" si="23"/>
        <v>0</v>
      </c>
      <c r="Q48" s="94">
        <f t="shared" si="23"/>
        <v>0</v>
      </c>
      <c r="R48" s="94">
        <f t="shared" si="23"/>
        <v>0</v>
      </c>
      <c r="S48" s="94">
        <f t="shared" si="23"/>
        <v>0</v>
      </c>
      <c r="T48" s="94">
        <f t="shared" si="23"/>
        <v>0</v>
      </c>
      <c r="U48" s="94">
        <f t="shared" si="23"/>
        <v>0</v>
      </c>
      <c r="V48" s="94">
        <f t="shared" si="23"/>
        <v>0</v>
      </c>
      <c r="W48" s="94">
        <f t="shared" si="23"/>
        <v>0</v>
      </c>
      <c r="X48" s="94">
        <f t="shared" si="23"/>
        <v>0</v>
      </c>
      <c r="Y48" s="94">
        <f t="shared" si="23"/>
        <v>0</v>
      </c>
      <c r="Z48" s="94">
        <f t="shared" si="23"/>
        <v>0</v>
      </c>
      <c r="AA48" s="94">
        <f t="shared" si="23"/>
        <v>0</v>
      </c>
      <c r="AB48" s="13">
        <f>SUM(AB5:AB9,AB11:AB25,AB30:AB37,AB41:AB47)</f>
        <v>79</v>
      </c>
      <c r="AC48" s="13">
        <f>SUM(AC5:AC9,AC11:AC25,AC30:AC37,AC41:AC47)</f>
        <v>18</v>
      </c>
      <c r="AD48" s="13">
        <f>SUM(AD5:AD9,AD11:AD25,AD30:AD37,AD41:AD47)</f>
        <v>2</v>
      </c>
      <c r="AE48" s="13">
        <f>SUM(AE5:AE9,AE11:AE25,AE30:AE37,AE41:AE47)</f>
        <v>0</v>
      </c>
      <c r="AF48" s="13">
        <f>SUM(AF5:AF9,AF11:AF25,AF30:AF37,AF41:AF47)</f>
        <v>99</v>
      </c>
    </row>
    <row r="49" spans="1:32" ht="15.75" x14ac:dyDescent="0.25">
      <c r="A49" s="12"/>
      <c r="B49" s="15" t="s">
        <v>85</v>
      </c>
      <c r="C49" s="24" t="s">
        <v>52</v>
      </c>
      <c r="D49" s="42">
        <f t="shared" ref="D49:AA49" si="24">COUNTIF(D5:D47,$C$49)</f>
        <v>0</v>
      </c>
      <c r="E49" s="42">
        <f t="shared" si="24"/>
        <v>6</v>
      </c>
      <c r="F49" s="42">
        <f t="shared" si="24"/>
        <v>4</v>
      </c>
      <c r="G49" s="42">
        <f t="shared" si="24"/>
        <v>8</v>
      </c>
      <c r="H49" s="42">
        <f t="shared" si="24"/>
        <v>0</v>
      </c>
      <c r="I49" s="42">
        <f t="shared" si="24"/>
        <v>0</v>
      </c>
      <c r="J49" s="42">
        <f t="shared" si="24"/>
        <v>0</v>
      </c>
      <c r="K49" s="42">
        <f t="shared" si="24"/>
        <v>0</v>
      </c>
      <c r="L49" s="42">
        <f t="shared" si="24"/>
        <v>0</v>
      </c>
      <c r="M49" s="42">
        <f t="shared" si="24"/>
        <v>0</v>
      </c>
      <c r="N49" s="42">
        <f t="shared" si="24"/>
        <v>0</v>
      </c>
      <c r="O49" s="42">
        <f t="shared" si="24"/>
        <v>0</v>
      </c>
      <c r="P49" s="42">
        <f t="shared" si="24"/>
        <v>0</v>
      </c>
      <c r="Q49" s="42">
        <f t="shared" si="24"/>
        <v>0</v>
      </c>
      <c r="R49" s="42">
        <f t="shared" si="24"/>
        <v>0</v>
      </c>
      <c r="S49" s="42">
        <f t="shared" si="24"/>
        <v>0</v>
      </c>
      <c r="T49" s="42">
        <f t="shared" si="24"/>
        <v>0</v>
      </c>
      <c r="U49" s="42">
        <f t="shared" si="24"/>
        <v>0</v>
      </c>
      <c r="V49" s="42">
        <f t="shared" si="24"/>
        <v>0</v>
      </c>
      <c r="W49" s="42">
        <f t="shared" si="24"/>
        <v>0</v>
      </c>
      <c r="X49" s="42">
        <f t="shared" si="24"/>
        <v>0</v>
      </c>
      <c r="Y49" s="42">
        <f t="shared" si="24"/>
        <v>0</v>
      </c>
      <c r="Z49" s="42">
        <f t="shared" si="24"/>
        <v>0</v>
      </c>
      <c r="AA49" s="42">
        <f t="shared" si="24"/>
        <v>0</v>
      </c>
    </row>
    <row r="50" spans="1:32" ht="15.75" x14ac:dyDescent="0.25">
      <c r="B50" s="15" t="s">
        <v>83</v>
      </c>
      <c r="C50" s="24" t="s">
        <v>79</v>
      </c>
      <c r="D50" s="42">
        <f t="shared" ref="D50:AA50" si="25">COUNTIF(D5:D47,$C$50)</f>
        <v>0</v>
      </c>
      <c r="E50" s="42">
        <f t="shared" si="25"/>
        <v>1</v>
      </c>
      <c r="F50" s="42">
        <f t="shared" si="25"/>
        <v>1</v>
      </c>
      <c r="G50" s="42">
        <f t="shared" si="25"/>
        <v>0</v>
      </c>
      <c r="H50" s="42">
        <f t="shared" si="25"/>
        <v>0</v>
      </c>
      <c r="I50" s="42">
        <f t="shared" si="25"/>
        <v>0</v>
      </c>
      <c r="J50" s="42">
        <f t="shared" si="25"/>
        <v>0</v>
      </c>
      <c r="K50" s="42">
        <f t="shared" si="25"/>
        <v>0</v>
      </c>
      <c r="L50" s="42">
        <f t="shared" si="25"/>
        <v>0</v>
      </c>
      <c r="M50" s="42">
        <f t="shared" si="25"/>
        <v>0</v>
      </c>
      <c r="N50" s="42">
        <f t="shared" si="25"/>
        <v>0</v>
      </c>
      <c r="O50" s="42">
        <f t="shared" si="25"/>
        <v>0</v>
      </c>
      <c r="P50" s="42">
        <f t="shared" si="25"/>
        <v>0</v>
      </c>
      <c r="Q50" s="42">
        <f t="shared" si="25"/>
        <v>0</v>
      </c>
      <c r="R50" s="42">
        <f t="shared" si="25"/>
        <v>0</v>
      </c>
      <c r="S50" s="42">
        <f t="shared" si="25"/>
        <v>0</v>
      </c>
      <c r="T50" s="42">
        <f t="shared" si="25"/>
        <v>0</v>
      </c>
      <c r="U50" s="42">
        <f t="shared" si="25"/>
        <v>0</v>
      </c>
      <c r="V50" s="42">
        <f t="shared" si="25"/>
        <v>0</v>
      </c>
      <c r="W50" s="42">
        <f t="shared" si="25"/>
        <v>0</v>
      </c>
      <c r="X50" s="42">
        <f t="shared" si="25"/>
        <v>0</v>
      </c>
      <c r="Y50" s="42">
        <f t="shared" si="25"/>
        <v>0</v>
      </c>
      <c r="Z50" s="42">
        <f t="shared" si="25"/>
        <v>0</v>
      </c>
      <c r="AA50" s="42">
        <f t="shared" si="25"/>
        <v>0</v>
      </c>
    </row>
    <row r="51" spans="1:32" ht="15.75" x14ac:dyDescent="0.25">
      <c r="B51" s="15" t="s">
        <v>84</v>
      </c>
      <c r="C51" s="24" t="s">
        <v>71</v>
      </c>
      <c r="D51" s="42">
        <f t="shared" ref="D51:AA51" si="26">COUNTIF(D5:D47,$C$51)</f>
        <v>0</v>
      </c>
      <c r="E51" s="42">
        <f t="shared" si="26"/>
        <v>0</v>
      </c>
      <c r="F51" s="42">
        <f t="shared" si="26"/>
        <v>0</v>
      </c>
      <c r="G51" s="42">
        <f t="shared" si="26"/>
        <v>0</v>
      </c>
      <c r="H51" s="42">
        <f t="shared" si="26"/>
        <v>0</v>
      </c>
      <c r="I51" s="42">
        <f t="shared" si="26"/>
        <v>0</v>
      </c>
      <c r="J51" s="42">
        <f t="shared" si="26"/>
        <v>0</v>
      </c>
      <c r="K51" s="42">
        <f t="shared" si="26"/>
        <v>0</v>
      </c>
      <c r="L51" s="42">
        <f t="shared" si="26"/>
        <v>0</v>
      </c>
      <c r="M51" s="42">
        <f t="shared" si="26"/>
        <v>0</v>
      </c>
      <c r="N51" s="42">
        <f t="shared" si="26"/>
        <v>0</v>
      </c>
      <c r="O51" s="42">
        <f t="shared" si="26"/>
        <v>0</v>
      </c>
      <c r="P51" s="42">
        <f t="shared" si="26"/>
        <v>0</v>
      </c>
      <c r="Q51" s="42">
        <f t="shared" si="26"/>
        <v>0</v>
      </c>
      <c r="R51" s="42">
        <f t="shared" si="26"/>
        <v>0</v>
      </c>
      <c r="S51" s="42">
        <f t="shared" si="26"/>
        <v>0</v>
      </c>
      <c r="T51" s="42">
        <f t="shared" si="26"/>
        <v>0</v>
      </c>
      <c r="U51" s="42">
        <f t="shared" si="26"/>
        <v>0</v>
      </c>
      <c r="V51" s="42">
        <f t="shared" si="26"/>
        <v>0</v>
      </c>
      <c r="W51" s="42">
        <f t="shared" si="26"/>
        <v>0</v>
      </c>
      <c r="X51" s="42">
        <f t="shared" si="26"/>
        <v>0</v>
      </c>
      <c r="Y51" s="42">
        <f t="shared" si="26"/>
        <v>0</v>
      </c>
      <c r="Z51" s="42">
        <f t="shared" si="26"/>
        <v>0</v>
      </c>
      <c r="AA51" s="42">
        <f t="shared" si="26"/>
        <v>0</v>
      </c>
    </row>
    <row r="52" spans="1:32" ht="15.75" x14ac:dyDescent="0.25">
      <c r="B52" s="15" t="s">
        <v>72</v>
      </c>
      <c r="C52" s="24" t="s">
        <v>81</v>
      </c>
      <c r="D52" s="42">
        <f t="shared" ref="D52:AA52" si="27">SUM(D48:D51)</f>
        <v>0</v>
      </c>
      <c r="E52" s="42">
        <f t="shared" si="27"/>
        <v>34</v>
      </c>
      <c r="F52" s="42">
        <f t="shared" si="27"/>
        <v>38</v>
      </c>
      <c r="G52" s="42">
        <f t="shared" si="27"/>
        <v>38</v>
      </c>
      <c r="H52" s="42">
        <f t="shared" si="27"/>
        <v>0</v>
      </c>
      <c r="I52" s="42">
        <f t="shared" si="27"/>
        <v>0</v>
      </c>
      <c r="J52" s="42">
        <f t="shared" si="27"/>
        <v>0</v>
      </c>
      <c r="K52" s="42">
        <f t="shared" si="27"/>
        <v>0</v>
      </c>
      <c r="L52" s="42">
        <f t="shared" si="27"/>
        <v>0</v>
      </c>
      <c r="M52" s="42">
        <f t="shared" si="27"/>
        <v>0</v>
      </c>
      <c r="N52" s="42">
        <f t="shared" si="27"/>
        <v>0</v>
      </c>
      <c r="O52" s="42">
        <f t="shared" si="27"/>
        <v>0</v>
      </c>
      <c r="P52" s="42">
        <f t="shared" si="27"/>
        <v>0</v>
      </c>
      <c r="Q52" s="42">
        <f t="shared" si="27"/>
        <v>0</v>
      </c>
      <c r="R52" s="42">
        <f t="shared" si="27"/>
        <v>0</v>
      </c>
      <c r="S52" s="42">
        <f t="shared" si="27"/>
        <v>0</v>
      </c>
      <c r="T52" s="42">
        <f t="shared" si="27"/>
        <v>0</v>
      </c>
      <c r="U52" s="42">
        <f t="shared" si="27"/>
        <v>0</v>
      </c>
      <c r="V52" s="42">
        <f t="shared" si="27"/>
        <v>0</v>
      </c>
      <c r="W52" s="42">
        <f t="shared" si="27"/>
        <v>0</v>
      </c>
      <c r="X52" s="42">
        <f t="shared" si="27"/>
        <v>0</v>
      </c>
      <c r="Y52" s="42">
        <f t="shared" si="27"/>
        <v>0</v>
      </c>
      <c r="Z52" s="42">
        <f t="shared" si="27"/>
        <v>0</v>
      </c>
      <c r="AA52" s="42">
        <f t="shared" si="27"/>
        <v>0</v>
      </c>
    </row>
    <row r="54" spans="1:32" ht="26.25" x14ac:dyDescent="0.25">
      <c r="A54" s="178" t="s">
        <v>80</v>
      </c>
      <c r="B54" s="179"/>
      <c r="C54" s="180"/>
      <c r="D54" s="174" t="s">
        <v>103</v>
      </c>
      <c r="E54" s="174" t="s">
        <v>104</v>
      </c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2" t="s">
        <v>82</v>
      </c>
      <c r="AC54" s="176" t="s">
        <v>85</v>
      </c>
      <c r="AD54" s="172" t="s">
        <v>83</v>
      </c>
      <c r="AE54" s="172" t="s">
        <v>84</v>
      </c>
      <c r="AF54" s="172" t="s">
        <v>72</v>
      </c>
    </row>
    <row r="55" spans="1:32" ht="15.75" x14ac:dyDescent="0.25">
      <c r="A55" s="173"/>
      <c r="B55" s="173"/>
      <c r="C55" s="180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2"/>
      <c r="AC55" s="177"/>
      <c r="AD55" s="172"/>
      <c r="AE55" s="172"/>
      <c r="AF55" s="172"/>
    </row>
    <row r="56" spans="1:32" ht="15.75" x14ac:dyDescent="0.25">
      <c r="A56" s="1" t="s">
        <v>2</v>
      </c>
      <c r="B56" s="1" t="s">
        <v>3</v>
      </c>
      <c r="C56" s="180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24" t="s">
        <v>73</v>
      </c>
      <c r="AC56" s="24" t="s">
        <v>52</v>
      </c>
      <c r="AD56" s="24" t="s">
        <v>79</v>
      </c>
      <c r="AE56" s="24" t="s">
        <v>71</v>
      </c>
      <c r="AF56" s="24" t="s">
        <v>81</v>
      </c>
    </row>
    <row r="57" spans="1:32" ht="15.75" x14ac:dyDescent="0.25">
      <c r="A57" s="2">
        <v>1</v>
      </c>
      <c r="B57" s="9" t="s">
        <v>107</v>
      </c>
      <c r="C57" s="22"/>
      <c r="D57" s="22"/>
      <c r="E57" s="70"/>
      <c r="F57" s="70"/>
      <c r="G57" s="70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14">
        <f t="shared" ref="AB57:AB76" si="28">COUNTIF(C57:AA57,$AB$4)</f>
        <v>0</v>
      </c>
      <c r="AC57" s="14">
        <f t="shared" ref="AC57:AC76" si="29">COUNTIF(C57:AA57,$AC$4)</f>
        <v>0</v>
      </c>
      <c r="AD57" s="14">
        <f t="shared" ref="AD57:AD76" si="30">COUNTIF(C57:AA57,$AD$4)</f>
        <v>0</v>
      </c>
      <c r="AE57" s="14">
        <f t="shared" ref="AE57:AE76" si="31">COUNTIF(C57:AA57,$AE$4)</f>
        <v>0</v>
      </c>
      <c r="AF57" s="25">
        <f>SUM(AB57:AE57)</f>
        <v>0</v>
      </c>
    </row>
    <row r="58" spans="1:32" ht="15.75" x14ac:dyDescent="0.25">
      <c r="A58" s="2">
        <v>2</v>
      </c>
      <c r="B58" s="4" t="s">
        <v>108</v>
      </c>
      <c r="C58" s="22"/>
      <c r="D58" s="22"/>
      <c r="E58" s="22" t="s">
        <v>73</v>
      </c>
      <c r="F58" s="22" t="s">
        <v>73</v>
      </c>
      <c r="G58" s="22" t="s">
        <v>73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14">
        <f t="shared" si="28"/>
        <v>3</v>
      </c>
      <c r="AC58" s="14">
        <f t="shared" si="29"/>
        <v>0</v>
      </c>
      <c r="AD58" s="14">
        <f t="shared" si="30"/>
        <v>0</v>
      </c>
      <c r="AE58" s="14">
        <f t="shared" si="31"/>
        <v>0</v>
      </c>
      <c r="AF58" s="25">
        <f t="shared" ref="AF58:AF61" si="32">SUM(AB58:AE58)</f>
        <v>3</v>
      </c>
    </row>
    <row r="59" spans="1:32" ht="15.75" x14ac:dyDescent="0.25">
      <c r="A59" s="2">
        <v>3</v>
      </c>
      <c r="B59" s="4" t="s">
        <v>109</v>
      </c>
      <c r="C59" s="22"/>
      <c r="D59" s="22"/>
      <c r="E59" s="22" t="s">
        <v>73</v>
      </c>
      <c r="F59" s="22" t="s">
        <v>73</v>
      </c>
      <c r="G59" s="22" t="s">
        <v>73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14">
        <f t="shared" si="28"/>
        <v>3</v>
      </c>
      <c r="AC59" s="14">
        <f t="shared" si="29"/>
        <v>0</v>
      </c>
      <c r="AD59" s="14">
        <f t="shared" si="30"/>
        <v>0</v>
      </c>
      <c r="AE59" s="14">
        <f t="shared" si="31"/>
        <v>0</v>
      </c>
      <c r="AF59" s="25">
        <f t="shared" si="32"/>
        <v>3</v>
      </c>
    </row>
    <row r="60" spans="1:32" ht="15.75" x14ac:dyDescent="0.25">
      <c r="A60" s="2">
        <v>4</v>
      </c>
      <c r="B60" s="4" t="s">
        <v>110</v>
      </c>
      <c r="C60" s="22"/>
      <c r="D60" s="22"/>
      <c r="E60" s="22" t="s">
        <v>73</v>
      </c>
      <c r="F60" s="22" t="s">
        <v>73</v>
      </c>
      <c r="G60" s="22" t="s">
        <v>73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14">
        <f t="shared" si="28"/>
        <v>3</v>
      </c>
      <c r="AC60" s="14">
        <f t="shared" si="29"/>
        <v>0</v>
      </c>
      <c r="AD60" s="14">
        <f t="shared" si="30"/>
        <v>0</v>
      </c>
      <c r="AE60" s="14">
        <f t="shared" si="31"/>
        <v>0</v>
      </c>
      <c r="AF60" s="25">
        <f t="shared" si="32"/>
        <v>3</v>
      </c>
    </row>
    <row r="61" spans="1:32" ht="15.75" x14ac:dyDescent="0.25">
      <c r="A61" s="2">
        <v>5</v>
      </c>
      <c r="B61" s="4" t="s">
        <v>111</v>
      </c>
      <c r="C61" s="22"/>
      <c r="D61" s="22"/>
      <c r="E61" s="22" t="s">
        <v>73</v>
      </c>
      <c r="F61" s="22" t="s">
        <v>73</v>
      </c>
      <c r="G61" s="22" t="s">
        <v>73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14">
        <f t="shared" si="28"/>
        <v>3</v>
      </c>
      <c r="AC61" s="14">
        <f t="shared" si="29"/>
        <v>0</v>
      </c>
      <c r="AD61" s="14">
        <f t="shared" si="30"/>
        <v>0</v>
      </c>
      <c r="AE61" s="14">
        <f t="shared" si="31"/>
        <v>0</v>
      </c>
      <c r="AF61" s="25">
        <f t="shared" si="32"/>
        <v>3</v>
      </c>
    </row>
    <row r="62" spans="1:32" ht="15.75" x14ac:dyDescent="0.25">
      <c r="A62" s="2">
        <v>6</v>
      </c>
      <c r="B62" s="4" t="s">
        <v>112</v>
      </c>
      <c r="C62" s="22"/>
      <c r="D62" s="22"/>
      <c r="E62" s="22" t="s">
        <v>73</v>
      </c>
      <c r="F62" s="70"/>
      <c r="G62" s="7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14">
        <f t="shared" si="28"/>
        <v>1</v>
      </c>
      <c r="AC62" s="14">
        <f t="shared" si="29"/>
        <v>0</v>
      </c>
      <c r="AD62" s="14">
        <f t="shared" si="30"/>
        <v>0</v>
      </c>
      <c r="AE62" s="14">
        <f t="shared" si="31"/>
        <v>0</v>
      </c>
      <c r="AF62" s="25">
        <f t="shared" ref="AF62:AF75" si="33">SUM(AB62:AE62)</f>
        <v>1</v>
      </c>
    </row>
    <row r="63" spans="1:32" ht="15.75" x14ac:dyDescent="0.25">
      <c r="A63" s="2">
        <v>7</v>
      </c>
      <c r="B63" s="4" t="s">
        <v>113</v>
      </c>
      <c r="C63" s="22"/>
      <c r="D63" s="22"/>
      <c r="E63" s="22" t="s">
        <v>73</v>
      </c>
      <c r="F63" s="70"/>
      <c r="G63" s="70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14">
        <f t="shared" si="28"/>
        <v>1</v>
      </c>
      <c r="AC63" s="14">
        <f t="shared" si="29"/>
        <v>0</v>
      </c>
      <c r="AD63" s="14">
        <f t="shared" si="30"/>
        <v>0</v>
      </c>
      <c r="AE63" s="22">
        <f t="shared" si="31"/>
        <v>0</v>
      </c>
      <c r="AF63" s="25">
        <f t="shared" si="33"/>
        <v>1</v>
      </c>
    </row>
    <row r="64" spans="1:32" ht="15.75" x14ac:dyDescent="0.25">
      <c r="A64" s="2">
        <v>8</v>
      </c>
      <c r="B64" s="4" t="s">
        <v>114</v>
      </c>
      <c r="C64" s="22"/>
      <c r="D64" s="22"/>
      <c r="E64" s="22" t="s">
        <v>73</v>
      </c>
      <c r="F64" s="22" t="s">
        <v>52</v>
      </c>
      <c r="G64" s="22" t="s">
        <v>73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14">
        <f t="shared" si="28"/>
        <v>2</v>
      </c>
      <c r="AC64" s="14">
        <f t="shared" si="29"/>
        <v>1</v>
      </c>
      <c r="AD64" s="14">
        <f t="shared" si="30"/>
        <v>0</v>
      </c>
      <c r="AE64" s="14">
        <f t="shared" si="31"/>
        <v>0</v>
      </c>
      <c r="AF64" s="25">
        <f t="shared" si="33"/>
        <v>3</v>
      </c>
    </row>
    <row r="65" spans="1:32" ht="15.75" x14ac:dyDescent="0.25">
      <c r="A65" s="2">
        <v>9</v>
      </c>
      <c r="B65" s="4" t="s">
        <v>115</v>
      </c>
      <c r="C65" s="22"/>
      <c r="D65" s="22"/>
      <c r="E65" s="22" t="s">
        <v>73</v>
      </c>
      <c r="F65" s="70"/>
      <c r="G65" s="70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14">
        <f t="shared" si="28"/>
        <v>1</v>
      </c>
      <c r="AC65" s="14">
        <f t="shared" si="29"/>
        <v>0</v>
      </c>
      <c r="AD65" s="14">
        <f t="shared" si="30"/>
        <v>0</v>
      </c>
      <c r="AE65" s="14">
        <f t="shared" si="31"/>
        <v>0</v>
      </c>
      <c r="AF65" s="25">
        <f t="shared" si="33"/>
        <v>1</v>
      </c>
    </row>
    <row r="66" spans="1:32" ht="15.75" x14ac:dyDescent="0.25">
      <c r="A66" s="2">
        <v>10</v>
      </c>
      <c r="B66" s="4" t="s">
        <v>116</v>
      </c>
      <c r="C66" s="22"/>
      <c r="D66" s="22"/>
      <c r="E66" s="22" t="s">
        <v>73</v>
      </c>
      <c r="F66" s="70"/>
      <c r="G66" s="7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14">
        <f t="shared" si="28"/>
        <v>1</v>
      </c>
      <c r="AC66" s="14">
        <f t="shared" si="29"/>
        <v>0</v>
      </c>
      <c r="AD66" s="14">
        <f t="shared" si="30"/>
        <v>0</v>
      </c>
      <c r="AE66" s="14">
        <f t="shared" si="31"/>
        <v>0</v>
      </c>
      <c r="AF66" s="25">
        <f t="shared" si="33"/>
        <v>1</v>
      </c>
    </row>
    <row r="67" spans="1:32" ht="15.75" x14ac:dyDescent="0.25">
      <c r="A67" s="2">
        <v>11</v>
      </c>
      <c r="B67" s="5" t="s">
        <v>117</v>
      </c>
      <c r="C67" s="22"/>
      <c r="D67" s="22"/>
      <c r="E67" s="22" t="s">
        <v>73</v>
      </c>
      <c r="F67" s="22" t="s">
        <v>52</v>
      </c>
      <c r="G67" s="22" t="s">
        <v>52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14">
        <f t="shared" si="28"/>
        <v>1</v>
      </c>
      <c r="AC67" s="14">
        <f t="shared" si="29"/>
        <v>2</v>
      </c>
      <c r="AD67" s="14">
        <f t="shared" si="30"/>
        <v>0</v>
      </c>
      <c r="AE67" s="14">
        <f t="shared" si="31"/>
        <v>0</v>
      </c>
      <c r="AF67" s="25">
        <f t="shared" si="33"/>
        <v>3</v>
      </c>
    </row>
    <row r="68" spans="1:32" ht="15.75" x14ac:dyDescent="0.25">
      <c r="A68" s="2">
        <v>12</v>
      </c>
      <c r="B68" s="4" t="s">
        <v>118</v>
      </c>
      <c r="C68" s="22"/>
      <c r="D68" s="22"/>
      <c r="E68" s="22" t="s">
        <v>73</v>
      </c>
      <c r="F68" s="22" t="s">
        <v>73</v>
      </c>
      <c r="G68" s="22" t="s">
        <v>73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14">
        <f t="shared" si="28"/>
        <v>3</v>
      </c>
      <c r="AC68" s="14">
        <f t="shared" si="29"/>
        <v>0</v>
      </c>
      <c r="AD68" s="14">
        <f t="shared" si="30"/>
        <v>0</v>
      </c>
      <c r="AE68" s="14">
        <f t="shared" si="31"/>
        <v>0</v>
      </c>
      <c r="AF68" s="25">
        <f t="shared" si="33"/>
        <v>3</v>
      </c>
    </row>
    <row r="69" spans="1:32" ht="15.75" x14ac:dyDescent="0.25">
      <c r="A69" s="2">
        <v>13</v>
      </c>
      <c r="B69" s="6" t="s">
        <v>119</v>
      </c>
      <c r="C69" s="22"/>
      <c r="D69" s="22"/>
      <c r="E69" s="22" t="s">
        <v>73</v>
      </c>
      <c r="F69" s="22" t="s">
        <v>73</v>
      </c>
      <c r="G69" s="22" t="s">
        <v>73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14">
        <f t="shared" si="28"/>
        <v>3</v>
      </c>
      <c r="AC69" s="14">
        <f t="shared" si="29"/>
        <v>0</v>
      </c>
      <c r="AD69" s="14">
        <f t="shared" si="30"/>
        <v>0</v>
      </c>
      <c r="AE69" s="14">
        <f t="shared" si="31"/>
        <v>0</v>
      </c>
      <c r="AF69" s="25">
        <f t="shared" si="33"/>
        <v>3</v>
      </c>
    </row>
    <row r="70" spans="1:32" ht="15.75" x14ac:dyDescent="0.25">
      <c r="A70" s="2">
        <v>14</v>
      </c>
      <c r="B70" s="4" t="s">
        <v>170</v>
      </c>
      <c r="C70" s="22"/>
      <c r="D70" s="22"/>
      <c r="E70" s="22"/>
      <c r="F70" s="22" t="s">
        <v>73</v>
      </c>
      <c r="G70" s="22" t="s">
        <v>52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14">
        <f t="shared" si="28"/>
        <v>1</v>
      </c>
      <c r="AC70" s="14">
        <f t="shared" si="29"/>
        <v>1</v>
      </c>
      <c r="AD70" s="14">
        <f t="shared" si="30"/>
        <v>0</v>
      </c>
      <c r="AE70" s="14">
        <f t="shared" si="31"/>
        <v>0</v>
      </c>
      <c r="AF70" s="25">
        <f t="shared" si="33"/>
        <v>2</v>
      </c>
    </row>
    <row r="71" spans="1:32" ht="15.75" x14ac:dyDescent="0.25">
      <c r="A71" s="2">
        <v>15</v>
      </c>
      <c r="B71" s="4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14">
        <f t="shared" si="28"/>
        <v>0</v>
      </c>
      <c r="AC71" s="14">
        <f t="shared" si="29"/>
        <v>0</v>
      </c>
      <c r="AD71" s="14">
        <f t="shared" si="30"/>
        <v>0</v>
      </c>
      <c r="AE71" s="14">
        <f t="shared" si="31"/>
        <v>0</v>
      </c>
      <c r="AF71" s="25">
        <f t="shared" si="33"/>
        <v>0</v>
      </c>
    </row>
    <row r="72" spans="1:32" ht="15.75" x14ac:dyDescent="0.25">
      <c r="A72" s="2">
        <v>16</v>
      </c>
      <c r="B72" s="6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14">
        <f t="shared" si="28"/>
        <v>0</v>
      </c>
      <c r="AC72" s="14">
        <f t="shared" si="29"/>
        <v>0</v>
      </c>
      <c r="AD72" s="14">
        <f t="shared" si="30"/>
        <v>0</v>
      </c>
      <c r="AE72" s="14">
        <f t="shared" si="31"/>
        <v>0</v>
      </c>
      <c r="AF72" s="25">
        <f t="shared" si="33"/>
        <v>0</v>
      </c>
    </row>
    <row r="73" spans="1:32" ht="15.75" x14ac:dyDescent="0.25">
      <c r="A73" s="2">
        <v>17</v>
      </c>
      <c r="B73" s="8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14">
        <f t="shared" si="28"/>
        <v>0</v>
      </c>
      <c r="AC73" s="14">
        <f t="shared" si="29"/>
        <v>0</v>
      </c>
      <c r="AD73" s="14">
        <f t="shared" si="30"/>
        <v>0</v>
      </c>
      <c r="AE73" s="14">
        <f t="shared" si="31"/>
        <v>0</v>
      </c>
      <c r="AF73" s="25">
        <f t="shared" si="33"/>
        <v>0</v>
      </c>
    </row>
    <row r="74" spans="1:32" ht="15.75" x14ac:dyDescent="0.25">
      <c r="A74" s="2">
        <v>18</v>
      </c>
      <c r="B74" s="8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14">
        <f t="shared" si="28"/>
        <v>0</v>
      </c>
      <c r="AC74" s="14">
        <f t="shared" si="29"/>
        <v>0</v>
      </c>
      <c r="AD74" s="14">
        <f t="shared" si="30"/>
        <v>0</v>
      </c>
      <c r="AE74" s="14">
        <f t="shared" si="31"/>
        <v>0</v>
      </c>
      <c r="AF74" s="25">
        <f t="shared" si="33"/>
        <v>0</v>
      </c>
    </row>
    <row r="75" spans="1:32" ht="15.75" x14ac:dyDescent="0.25">
      <c r="A75" s="2">
        <v>19</v>
      </c>
      <c r="B75" s="4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14">
        <f t="shared" si="28"/>
        <v>0</v>
      </c>
      <c r="AC75" s="14">
        <f t="shared" si="29"/>
        <v>0</v>
      </c>
      <c r="AD75" s="14">
        <f t="shared" si="30"/>
        <v>0</v>
      </c>
      <c r="AE75" s="14">
        <f t="shared" si="31"/>
        <v>0</v>
      </c>
      <c r="AF75" s="25">
        <f t="shared" si="33"/>
        <v>0</v>
      </c>
    </row>
    <row r="76" spans="1:32" ht="15.75" x14ac:dyDescent="0.25">
      <c r="A76" s="2">
        <v>20</v>
      </c>
      <c r="B76" s="4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14">
        <f t="shared" si="28"/>
        <v>0</v>
      </c>
      <c r="AC76" s="14">
        <f t="shared" si="29"/>
        <v>0</v>
      </c>
      <c r="AD76" s="14">
        <f t="shared" si="30"/>
        <v>0</v>
      </c>
      <c r="AE76" s="14">
        <f t="shared" si="31"/>
        <v>0</v>
      </c>
      <c r="AF76" s="25">
        <f t="shared" ref="AF76" si="34">SUM(AB76:AE76)</f>
        <v>0</v>
      </c>
    </row>
    <row r="77" spans="1:32" ht="15.75" x14ac:dyDescent="0.25">
      <c r="A77" s="26"/>
      <c r="B77" s="15" t="s">
        <v>82</v>
      </c>
      <c r="C77" s="24" t="s">
        <v>73</v>
      </c>
      <c r="D77" s="42">
        <f t="shared" ref="D77:AA77" si="35">COUNTIF(D57:D76,$C$48)</f>
        <v>0</v>
      </c>
      <c r="E77" s="42">
        <f t="shared" si="35"/>
        <v>12</v>
      </c>
      <c r="F77" s="42">
        <f t="shared" si="35"/>
        <v>7</v>
      </c>
      <c r="G77" s="42">
        <f t="shared" si="35"/>
        <v>7</v>
      </c>
      <c r="H77" s="42">
        <f t="shared" si="35"/>
        <v>0</v>
      </c>
      <c r="I77" s="42">
        <f t="shared" si="35"/>
        <v>0</v>
      </c>
      <c r="J77" s="42">
        <f t="shared" si="35"/>
        <v>0</v>
      </c>
      <c r="K77" s="42">
        <f t="shared" si="35"/>
        <v>0</v>
      </c>
      <c r="L77" s="42">
        <f t="shared" si="35"/>
        <v>0</v>
      </c>
      <c r="M77" s="42">
        <f t="shared" si="35"/>
        <v>0</v>
      </c>
      <c r="N77" s="42">
        <f t="shared" si="35"/>
        <v>0</v>
      </c>
      <c r="O77" s="42">
        <f t="shared" si="35"/>
        <v>0</v>
      </c>
      <c r="P77" s="42">
        <f t="shared" si="35"/>
        <v>0</v>
      </c>
      <c r="Q77" s="42">
        <f t="shared" si="35"/>
        <v>0</v>
      </c>
      <c r="R77" s="42">
        <f t="shared" si="35"/>
        <v>0</v>
      </c>
      <c r="S77" s="42">
        <f t="shared" si="35"/>
        <v>0</v>
      </c>
      <c r="T77" s="42">
        <f t="shared" si="35"/>
        <v>0</v>
      </c>
      <c r="U77" s="42">
        <f t="shared" si="35"/>
        <v>0</v>
      </c>
      <c r="V77" s="42">
        <f t="shared" si="35"/>
        <v>0</v>
      </c>
      <c r="W77" s="42">
        <f t="shared" si="35"/>
        <v>0</v>
      </c>
      <c r="X77" s="42">
        <f t="shared" si="35"/>
        <v>0</v>
      </c>
      <c r="Y77" s="42">
        <f t="shared" si="35"/>
        <v>0</v>
      </c>
      <c r="Z77" s="42">
        <f t="shared" si="35"/>
        <v>0</v>
      </c>
      <c r="AA77" s="42">
        <f t="shared" si="35"/>
        <v>0</v>
      </c>
      <c r="AB77" s="13">
        <f>SUM(AB57:AB61,AB62:AB75,AB76:AB76)</f>
        <v>26</v>
      </c>
    </row>
    <row r="78" spans="1:32" ht="15.75" x14ac:dyDescent="0.25">
      <c r="A78" s="12"/>
      <c r="B78" s="15" t="s">
        <v>85</v>
      </c>
      <c r="C78" s="24" t="s">
        <v>52</v>
      </c>
      <c r="D78" s="42">
        <f t="shared" ref="D78:AA78" si="36">COUNTIF(D57:D76,$C$49)</f>
        <v>0</v>
      </c>
      <c r="E78" s="42">
        <f t="shared" si="36"/>
        <v>0</v>
      </c>
      <c r="F78" s="42">
        <f t="shared" si="36"/>
        <v>2</v>
      </c>
      <c r="G78" s="42">
        <f t="shared" si="36"/>
        <v>2</v>
      </c>
      <c r="H78" s="42">
        <f t="shared" si="36"/>
        <v>0</v>
      </c>
      <c r="I78" s="42">
        <f t="shared" si="36"/>
        <v>0</v>
      </c>
      <c r="J78" s="42">
        <f t="shared" si="36"/>
        <v>0</v>
      </c>
      <c r="K78" s="42">
        <f t="shared" si="36"/>
        <v>0</v>
      </c>
      <c r="L78" s="42">
        <f t="shared" si="36"/>
        <v>0</v>
      </c>
      <c r="M78" s="42">
        <f t="shared" si="36"/>
        <v>0</v>
      </c>
      <c r="N78" s="42">
        <f t="shared" si="36"/>
        <v>0</v>
      </c>
      <c r="O78" s="42">
        <f t="shared" si="36"/>
        <v>0</v>
      </c>
      <c r="P78" s="42">
        <f t="shared" si="36"/>
        <v>0</v>
      </c>
      <c r="Q78" s="42">
        <f t="shared" si="36"/>
        <v>0</v>
      </c>
      <c r="R78" s="42">
        <f t="shared" si="36"/>
        <v>0</v>
      </c>
      <c r="S78" s="42">
        <f t="shared" si="36"/>
        <v>0</v>
      </c>
      <c r="T78" s="42">
        <f t="shared" si="36"/>
        <v>0</v>
      </c>
      <c r="U78" s="42">
        <f t="shared" si="36"/>
        <v>0</v>
      </c>
      <c r="V78" s="42">
        <f t="shared" si="36"/>
        <v>0</v>
      </c>
      <c r="W78" s="42">
        <f t="shared" si="36"/>
        <v>0</v>
      </c>
      <c r="X78" s="42">
        <f t="shared" si="36"/>
        <v>0</v>
      </c>
      <c r="Y78" s="42">
        <f t="shared" si="36"/>
        <v>0</v>
      </c>
      <c r="Z78" s="42">
        <f t="shared" si="36"/>
        <v>0</v>
      </c>
      <c r="AA78" s="42">
        <f t="shared" si="36"/>
        <v>0</v>
      </c>
    </row>
    <row r="79" spans="1:32" ht="15.75" x14ac:dyDescent="0.25">
      <c r="B79" s="15" t="s">
        <v>83</v>
      </c>
      <c r="C79" s="24" t="s">
        <v>79</v>
      </c>
      <c r="D79" s="42">
        <f t="shared" ref="D79:AA79" si="37">COUNTIF(D57:D76,$C$50)</f>
        <v>0</v>
      </c>
      <c r="E79" s="42">
        <f t="shared" si="37"/>
        <v>0</v>
      </c>
      <c r="F79" s="42">
        <f t="shared" si="37"/>
        <v>0</v>
      </c>
      <c r="G79" s="42">
        <f t="shared" si="37"/>
        <v>0</v>
      </c>
      <c r="H79" s="42">
        <f t="shared" si="37"/>
        <v>0</v>
      </c>
      <c r="I79" s="42">
        <f t="shared" si="37"/>
        <v>0</v>
      </c>
      <c r="J79" s="42">
        <f t="shared" si="37"/>
        <v>0</v>
      </c>
      <c r="K79" s="42">
        <f t="shared" si="37"/>
        <v>0</v>
      </c>
      <c r="L79" s="42">
        <f t="shared" si="37"/>
        <v>0</v>
      </c>
      <c r="M79" s="42">
        <f t="shared" si="37"/>
        <v>0</v>
      </c>
      <c r="N79" s="42">
        <f t="shared" si="37"/>
        <v>0</v>
      </c>
      <c r="O79" s="42">
        <f t="shared" si="37"/>
        <v>0</v>
      </c>
      <c r="P79" s="42">
        <f t="shared" si="37"/>
        <v>0</v>
      </c>
      <c r="Q79" s="42">
        <f t="shared" si="37"/>
        <v>0</v>
      </c>
      <c r="R79" s="42">
        <f t="shared" si="37"/>
        <v>0</v>
      </c>
      <c r="S79" s="42">
        <f t="shared" si="37"/>
        <v>0</v>
      </c>
      <c r="T79" s="42">
        <f t="shared" si="37"/>
        <v>0</v>
      </c>
      <c r="U79" s="42">
        <f t="shared" si="37"/>
        <v>0</v>
      </c>
      <c r="V79" s="42">
        <f t="shared" si="37"/>
        <v>0</v>
      </c>
      <c r="W79" s="42">
        <f t="shared" si="37"/>
        <v>0</v>
      </c>
      <c r="X79" s="42">
        <f t="shared" si="37"/>
        <v>0</v>
      </c>
      <c r="Y79" s="42">
        <f t="shared" si="37"/>
        <v>0</v>
      </c>
      <c r="Z79" s="42">
        <f t="shared" si="37"/>
        <v>0</v>
      </c>
      <c r="AA79" s="42">
        <f t="shared" si="37"/>
        <v>0</v>
      </c>
    </row>
    <row r="80" spans="1:32" ht="15.75" x14ac:dyDescent="0.25">
      <c r="B80" s="15" t="s">
        <v>84</v>
      </c>
      <c r="C80" s="24" t="s">
        <v>71</v>
      </c>
      <c r="D80" s="42">
        <f t="shared" ref="D80:AA80" si="38">COUNTIF(D57:D76,$C$51)</f>
        <v>0</v>
      </c>
      <c r="E80" s="42">
        <f t="shared" si="38"/>
        <v>0</v>
      </c>
      <c r="F80" s="42">
        <f t="shared" si="38"/>
        <v>0</v>
      </c>
      <c r="G80" s="42">
        <f t="shared" si="38"/>
        <v>0</v>
      </c>
      <c r="H80" s="42">
        <f t="shared" si="38"/>
        <v>0</v>
      </c>
      <c r="I80" s="42">
        <f t="shared" si="38"/>
        <v>0</v>
      </c>
      <c r="J80" s="42">
        <f t="shared" si="38"/>
        <v>0</v>
      </c>
      <c r="K80" s="42">
        <f t="shared" si="38"/>
        <v>0</v>
      </c>
      <c r="L80" s="42">
        <f t="shared" si="38"/>
        <v>0</v>
      </c>
      <c r="M80" s="42">
        <f t="shared" si="38"/>
        <v>0</v>
      </c>
      <c r="N80" s="42">
        <f t="shared" si="38"/>
        <v>0</v>
      </c>
      <c r="O80" s="42">
        <f t="shared" si="38"/>
        <v>0</v>
      </c>
      <c r="P80" s="42">
        <f t="shared" si="38"/>
        <v>0</v>
      </c>
      <c r="Q80" s="42">
        <f t="shared" si="38"/>
        <v>0</v>
      </c>
      <c r="R80" s="42">
        <f t="shared" si="38"/>
        <v>0</v>
      </c>
      <c r="S80" s="42">
        <f t="shared" si="38"/>
        <v>0</v>
      </c>
      <c r="T80" s="42">
        <f t="shared" si="38"/>
        <v>0</v>
      </c>
      <c r="U80" s="42">
        <f t="shared" si="38"/>
        <v>0</v>
      </c>
      <c r="V80" s="42">
        <f t="shared" si="38"/>
        <v>0</v>
      </c>
      <c r="W80" s="42">
        <f t="shared" si="38"/>
        <v>0</v>
      </c>
      <c r="X80" s="42">
        <f t="shared" si="38"/>
        <v>0</v>
      </c>
      <c r="Y80" s="42">
        <f t="shared" si="38"/>
        <v>0</v>
      </c>
      <c r="Z80" s="42">
        <f t="shared" si="38"/>
        <v>0</v>
      </c>
      <c r="AA80" s="42">
        <f t="shared" si="38"/>
        <v>0</v>
      </c>
    </row>
    <row r="81" spans="2:27" ht="15.75" x14ac:dyDescent="0.25">
      <c r="B81" s="15" t="s">
        <v>72</v>
      </c>
      <c r="C81" s="24" t="s">
        <v>81</v>
      </c>
      <c r="D81" s="42">
        <f t="shared" ref="D81:AA81" si="39">SUM(D77:D80)</f>
        <v>0</v>
      </c>
      <c r="E81" s="42">
        <f t="shared" si="39"/>
        <v>12</v>
      </c>
      <c r="F81" s="42">
        <f t="shared" si="39"/>
        <v>9</v>
      </c>
      <c r="G81" s="42">
        <f t="shared" si="39"/>
        <v>9</v>
      </c>
      <c r="H81" s="42">
        <f t="shared" si="39"/>
        <v>0</v>
      </c>
      <c r="I81" s="42">
        <f t="shared" si="39"/>
        <v>0</v>
      </c>
      <c r="J81" s="42">
        <f t="shared" si="39"/>
        <v>0</v>
      </c>
      <c r="K81" s="42">
        <f t="shared" si="39"/>
        <v>0</v>
      </c>
      <c r="L81" s="42">
        <f t="shared" si="39"/>
        <v>0</v>
      </c>
      <c r="M81" s="42">
        <f t="shared" si="39"/>
        <v>0</v>
      </c>
      <c r="N81" s="42">
        <f t="shared" si="39"/>
        <v>0</v>
      </c>
      <c r="O81" s="42">
        <f t="shared" si="39"/>
        <v>0</v>
      </c>
      <c r="P81" s="42">
        <f t="shared" si="39"/>
        <v>0</v>
      </c>
      <c r="Q81" s="42">
        <f t="shared" si="39"/>
        <v>0</v>
      </c>
      <c r="R81" s="42">
        <f t="shared" si="39"/>
        <v>0</v>
      </c>
      <c r="S81" s="42">
        <f t="shared" si="39"/>
        <v>0</v>
      </c>
      <c r="T81" s="42">
        <f t="shared" si="39"/>
        <v>0</v>
      </c>
      <c r="U81" s="42">
        <f t="shared" si="39"/>
        <v>0</v>
      </c>
      <c r="V81" s="42">
        <f t="shared" si="39"/>
        <v>0</v>
      </c>
      <c r="W81" s="42">
        <f t="shared" si="39"/>
        <v>0</v>
      </c>
      <c r="X81" s="42">
        <f t="shared" si="39"/>
        <v>0</v>
      </c>
      <c r="Y81" s="42">
        <f t="shared" si="39"/>
        <v>0</v>
      </c>
      <c r="Z81" s="42">
        <f t="shared" si="39"/>
        <v>0</v>
      </c>
      <c r="AA81" s="42">
        <f t="shared" si="39"/>
        <v>0</v>
      </c>
    </row>
  </sheetData>
  <mergeCells count="67">
    <mergeCell ref="C2:C4"/>
    <mergeCell ref="A2:B2"/>
    <mergeCell ref="A3:B3"/>
    <mergeCell ref="A29:B29"/>
    <mergeCell ref="A40:B40"/>
    <mergeCell ref="A10:B10"/>
    <mergeCell ref="D2:D4"/>
    <mergeCell ref="E2:E4"/>
    <mergeCell ref="AD2:AD3"/>
    <mergeCell ref="AE2:AE3"/>
    <mergeCell ref="AF2:AF3"/>
    <mergeCell ref="X2:X4"/>
    <mergeCell ref="Y2:Y4"/>
    <mergeCell ref="Z2:Z4"/>
    <mergeCell ref="AA2:AA4"/>
    <mergeCell ref="AC2:AC3"/>
    <mergeCell ref="AB2:AB3"/>
    <mergeCell ref="F2:F4"/>
    <mergeCell ref="G2:G4"/>
    <mergeCell ref="T2:T4"/>
    <mergeCell ref="U2:U4"/>
    <mergeCell ref="V2:V4"/>
    <mergeCell ref="Q2:Q4"/>
    <mergeCell ref="W2:W4"/>
    <mergeCell ref="R2:R4"/>
    <mergeCell ref="S2:S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A54:B54"/>
    <mergeCell ref="C54:C56"/>
    <mergeCell ref="D54:D56"/>
    <mergeCell ref="E54:E56"/>
    <mergeCell ref="F54:F56"/>
    <mergeCell ref="G54:G56"/>
    <mergeCell ref="H54:H56"/>
    <mergeCell ref="I54:I56"/>
    <mergeCell ref="J54:J56"/>
    <mergeCell ref="K54:K56"/>
    <mergeCell ref="U54:U56"/>
    <mergeCell ref="L54:L56"/>
    <mergeCell ref="M54:M56"/>
    <mergeCell ref="N54:N56"/>
    <mergeCell ref="O54:O56"/>
    <mergeCell ref="P54:P56"/>
    <mergeCell ref="AF54:AF55"/>
    <mergeCell ref="A55:B55"/>
    <mergeCell ref="AA54:AA56"/>
    <mergeCell ref="AB54:AB55"/>
    <mergeCell ref="AC54:AC55"/>
    <mergeCell ref="AD54:AD55"/>
    <mergeCell ref="AE54:AE55"/>
    <mergeCell ref="V54:V56"/>
    <mergeCell ref="W54:W56"/>
    <mergeCell ref="X54:X56"/>
    <mergeCell ref="Y54:Y56"/>
    <mergeCell ref="Z54:Z56"/>
    <mergeCell ref="Q54:Q56"/>
    <mergeCell ref="R54:R56"/>
    <mergeCell ref="S54:S56"/>
    <mergeCell ref="T54:T56"/>
  </mergeCells>
  <conditionalFormatting sqref="C5:AA9 C30:AA39">
    <cfRule type="cellIs" dxfId="14" priority="18" operator="equal">
      <formula>"L"</formula>
    </cfRule>
    <cfRule type="cellIs" dxfId="13" priority="19" operator="equal">
      <formula>"F"</formula>
    </cfRule>
  </conditionalFormatting>
  <conditionalFormatting sqref="C11:AA28">
    <cfRule type="cellIs" dxfId="12" priority="43" operator="equal">
      <formula>"L"</formula>
    </cfRule>
    <cfRule type="cellIs" dxfId="11" priority="46" operator="equal">
      <formula>"F"</formula>
    </cfRule>
  </conditionalFormatting>
  <conditionalFormatting sqref="C41:AA47">
    <cfRule type="cellIs" dxfId="10" priority="21" operator="equal">
      <formula>"L"</formula>
    </cfRule>
    <cfRule type="cellIs" dxfId="9" priority="22" operator="equal">
      <formula>"F"</formula>
    </cfRule>
  </conditionalFormatting>
  <conditionalFormatting sqref="C57:AA76">
    <cfRule type="cellIs" dxfId="8" priority="2" operator="equal">
      <formula>"L"</formula>
    </cfRule>
    <cfRule type="cellIs" dxfId="7" priority="3" operator="equal">
      <formula>"F"</formula>
    </cfRule>
  </conditionalFormatting>
  <conditionalFormatting sqref="E5:AA9 E30:AA39">
    <cfRule type="cellIs" dxfId="6" priority="17" operator="equal">
      <formula>"A"</formula>
    </cfRule>
  </conditionalFormatting>
  <conditionalFormatting sqref="E11:AA28">
    <cfRule type="cellIs" dxfId="5" priority="29" operator="equal">
      <formula>"A"</formula>
    </cfRule>
  </conditionalFormatting>
  <conditionalFormatting sqref="E41:AA47">
    <cfRule type="cellIs" dxfId="4" priority="20" operator="equal">
      <formula>"A"</formula>
    </cfRule>
  </conditionalFormatting>
  <conditionalFormatting sqref="E57:AA76">
    <cfRule type="cellIs" dxfId="3" priority="1" operator="equal">
      <formula>"A"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51"/>
  <sheetViews>
    <sheetView zoomScale="115" zoomScaleNormal="115" workbookViewId="0">
      <selection activeCell="F13" sqref="F13"/>
    </sheetView>
  </sheetViews>
  <sheetFormatPr baseColWidth="10" defaultRowHeight="15" x14ac:dyDescent="0.25"/>
  <cols>
    <col min="1" max="1" width="5.85546875" customWidth="1"/>
    <col min="2" max="2" width="41" bestFit="1" customWidth="1"/>
    <col min="3" max="3" width="4.7109375" customWidth="1"/>
    <col min="4" max="20" width="3.7109375" customWidth="1"/>
  </cols>
  <sheetData>
    <row r="1" spans="1:20" ht="117" customHeight="1" x14ac:dyDescent="0.25">
      <c r="A1" s="178" t="s">
        <v>80</v>
      </c>
      <c r="B1" s="179"/>
      <c r="C1" s="184"/>
      <c r="D1" s="184"/>
      <c r="E1" s="184"/>
      <c r="F1" s="184"/>
      <c r="G1" s="184"/>
      <c r="H1" s="184"/>
      <c r="I1" s="77"/>
      <c r="J1" s="77"/>
      <c r="K1" s="77"/>
      <c r="L1" s="77"/>
      <c r="M1" s="184"/>
      <c r="N1" s="184"/>
      <c r="O1" s="184"/>
      <c r="P1" s="172" t="s">
        <v>82</v>
      </c>
      <c r="Q1" s="176" t="s">
        <v>85</v>
      </c>
      <c r="R1" s="172" t="s">
        <v>83</v>
      </c>
      <c r="S1" s="172" t="s">
        <v>84</v>
      </c>
      <c r="T1" s="172" t="s">
        <v>72</v>
      </c>
    </row>
    <row r="2" spans="1:20" ht="15.75" x14ac:dyDescent="0.25">
      <c r="A2" s="186" t="s">
        <v>1</v>
      </c>
      <c r="B2" s="186"/>
      <c r="C2" s="185"/>
      <c r="D2" s="185"/>
      <c r="E2" s="185"/>
      <c r="F2" s="185"/>
      <c r="G2" s="185"/>
      <c r="H2" s="185"/>
      <c r="I2" s="72"/>
      <c r="J2" s="72"/>
      <c r="K2" s="72"/>
      <c r="L2" s="72"/>
      <c r="M2" s="185"/>
      <c r="N2" s="185"/>
      <c r="O2" s="185"/>
      <c r="P2" s="172"/>
      <c r="Q2" s="177"/>
      <c r="R2" s="172"/>
      <c r="S2" s="172"/>
      <c r="T2" s="172"/>
    </row>
    <row r="3" spans="1:20" ht="15.75" x14ac:dyDescent="0.25">
      <c r="A3" s="78" t="s">
        <v>2</v>
      </c>
      <c r="B3" s="82" t="s">
        <v>3</v>
      </c>
      <c r="C3" s="79" t="s">
        <v>137</v>
      </c>
      <c r="D3" s="79" t="s">
        <v>138</v>
      </c>
      <c r="E3" s="79" t="s">
        <v>139</v>
      </c>
      <c r="F3" s="79" t="s">
        <v>140</v>
      </c>
      <c r="G3" s="79" t="s">
        <v>141</v>
      </c>
      <c r="H3" s="79" t="s">
        <v>142</v>
      </c>
      <c r="I3" s="79" t="s">
        <v>149</v>
      </c>
      <c r="J3" s="79" t="s">
        <v>148</v>
      </c>
      <c r="K3" s="79" t="s">
        <v>147</v>
      </c>
      <c r="L3" s="79" t="s">
        <v>146</v>
      </c>
      <c r="M3" s="79" t="s">
        <v>143</v>
      </c>
      <c r="N3" s="79" t="s">
        <v>144</v>
      </c>
      <c r="O3" s="79" t="s">
        <v>145</v>
      </c>
      <c r="P3" s="80" t="s">
        <v>73</v>
      </c>
      <c r="Q3" s="80" t="s">
        <v>136</v>
      </c>
      <c r="R3" s="80" t="s">
        <v>79</v>
      </c>
      <c r="S3" s="80" t="s">
        <v>71</v>
      </c>
      <c r="T3" s="81" t="s">
        <v>81</v>
      </c>
    </row>
    <row r="4" spans="1:20" ht="15.75" x14ac:dyDescent="0.25">
      <c r="A4" s="73">
        <v>1</v>
      </c>
      <c r="B4" s="9" t="s">
        <v>35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14">
        <f ca="1">COUNTIF(C4:O4,$P$4)</f>
        <v>0</v>
      </c>
      <c r="Q4" s="14">
        <f ca="1">COUNTIF(C4:O4,$Q$4)</f>
        <v>0</v>
      </c>
      <c r="R4" s="14">
        <f ca="1">COUNTIF(C4:O4,$R$4)</f>
        <v>0</v>
      </c>
      <c r="S4" s="14">
        <f ca="1">COUNTIF(C4:O4,$S$4)</f>
        <v>0</v>
      </c>
      <c r="T4" s="74">
        <f ca="1">SUM(P4:S4)</f>
        <v>0</v>
      </c>
    </row>
    <row r="5" spans="1:20" ht="15.75" x14ac:dyDescent="0.25">
      <c r="A5" s="73">
        <v>2</v>
      </c>
      <c r="B5" s="4" t="s">
        <v>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14">
        <f ca="1">COUNTIF(C5:O5,$P$4)</f>
        <v>0</v>
      </c>
      <c r="Q5" s="14">
        <f ca="1">COUNTIF(C5:O5,$Q$4)</f>
        <v>0</v>
      </c>
      <c r="R5" s="14">
        <f ca="1">COUNTIF(C5:O5,$R$4)</f>
        <v>0</v>
      </c>
      <c r="S5" s="14">
        <f ca="1">COUNTIF(C5:O5,$S$4)</f>
        <v>0</v>
      </c>
      <c r="T5" s="74">
        <f t="shared" ref="T5:T8" ca="1" si="0">SUM(P5:S5)</f>
        <v>0</v>
      </c>
    </row>
    <row r="6" spans="1:20" ht="15.75" x14ac:dyDescent="0.25">
      <c r="A6" s="73">
        <v>3</v>
      </c>
      <c r="B6" s="4" t="s">
        <v>36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14">
        <f ca="1">COUNTIF(C6:O6,$P$4)</f>
        <v>0</v>
      </c>
      <c r="Q6" s="14">
        <f ca="1">COUNTIF(C6:O6,$Q$4)</f>
        <v>0</v>
      </c>
      <c r="R6" s="14">
        <f ca="1">COUNTIF(C6:O6,$R$4)</f>
        <v>0</v>
      </c>
      <c r="S6" s="14">
        <f ca="1">COUNTIF(C6:O6,$S$4)</f>
        <v>0</v>
      </c>
      <c r="T6" s="74">
        <f t="shared" ca="1" si="0"/>
        <v>0</v>
      </c>
    </row>
    <row r="7" spans="1:20" ht="15.75" x14ac:dyDescent="0.25">
      <c r="A7" s="73">
        <v>4</v>
      </c>
      <c r="B7" s="4" t="s">
        <v>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14">
        <f ca="1">COUNTIF(C7:O7,$P$4)</f>
        <v>0</v>
      </c>
      <c r="Q7" s="14">
        <f ca="1">COUNTIF(C7:O7,$Q$4)</f>
        <v>0</v>
      </c>
      <c r="R7" s="14">
        <f ca="1">COUNTIF(C7:O7,$R$4)</f>
        <v>0</v>
      </c>
      <c r="S7" s="14">
        <f ca="1">COUNTIF(C7:O7,$S$4)</f>
        <v>0</v>
      </c>
      <c r="T7" s="74">
        <f t="shared" ca="1" si="0"/>
        <v>0</v>
      </c>
    </row>
    <row r="8" spans="1:20" ht="15.75" x14ac:dyDescent="0.25">
      <c r="A8" s="73">
        <v>5</v>
      </c>
      <c r="B8" s="6" t="s">
        <v>30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14">
        <f ca="1">COUNTIF(C8:O8,$P$4)</f>
        <v>0</v>
      </c>
      <c r="Q8" s="14">
        <f ca="1">COUNTIF(C8:O8,$Q$4)</f>
        <v>0</v>
      </c>
      <c r="R8" s="14">
        <f ca="1">COUNTIF(C8:O8,$R$4)</f>
        <v>0</v>
      </c>
      <c r="S8" s="14">
        <f ca="1">COUNTIF(C8:O8,$S$4)</f>
        <v>0</v>
      </c>
      <c r="T8" s="74">
        <f t="shared" ca="1" si="0"/>
        <v>0</v>
      </c>
    </row>
    <row r="9" spans="1:20" ht="15.75" x14ac:dyDescent="0.25">
      <c r="A9" s="83" t="s">
        <v>11</v>
      </c>
      <c r="B9" s="71"/>
      <c r="C9" s="62"/>
      <c r="D9" s="62"/>
      <c r="E9" s="62"/>
      <c r="F9" s="62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75"/>
    </row>
    <row r="10" spans="1:20" ht="15.75" x14ac:dyDescent="0.25">
      <c r="A10" s="73">
        <v>1</v>
      </c>
      <c r="B10" s="4" t="s">
        <v>33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14">
        <f ca="1">COUNTIF(C10:O10,$P$4)</f>
        <v>0</v>
      </c>
      <c r="Q10" s="14">
        <f ca="1">COUNTIF(C10:O10,$Q$4)</f>
        <v>0</v>
      </c>
      <c r="R10" s="14">
        <f ca="1">COUNTIF(C10:O10,$R$4)</f>
        <v>0</v>
      </c>
      <c r="S10" s="14">
        <f ca="1">COUNTIF(C10:O10,$S$4)</f>
        <v>0</v>
      </c>
      <c r="T10" s="74">
        <f ca="1">SUM(P10:S10)</f>
        <v>0</v>
      </c>
    </row>
    <row r="11" spans="1:20" ht="15.75" x14ac:dyDescent="0.25">
      <c r="A11" s="73">
        <v>2</v>
      </c>
      <c r="B11" s="4" t="s">
        <v>40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14">
        <f t="shared" ref="P11:P27" ca="1" si="1">COUNTIF(C11:O11,$P$4)</f>
        <v>0</v>
      </c>
      <c r="Q11" s="14">
        <f t="shared" ref="Q11:Q27" ca="1" si="2">COUNTIF(C11:O11,$Q$4)</f>
        <v>0</v>
      </c>
      <c r="R11" s="14">
        <f t="shared" ref="R11:R27" ca="1" si="3">COUNTIF(C11:O11,$R$4)</f>
        <v>0</v>
      </c>
      <c r="S11" s="14">
        <f t="shared" ref="S11:S27" ca="1" si="4">COUNTIF(C11:O11,$S$4)</f>
        <v>0</v>
      </c>
      <c r="T11" s="74">
        <f t="shared" ref="T11:T27" ca="1" si="5">SUM(P11:S11)</f>
        <v>0</v>
      </c>
    </row>
    <row r="12" spans="1:20" ht="15.75" x14ac:dyDescent="0.25">
      <c r="A12" s="73">
        <v>3</v>
      </c>
      <c r="B12" s="4" t="s">
        <v>31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14">
        <f t="shared" ca="1" si="1"/>
        <v>0</v>
      </c>
      <c r="Q12" s="14">
        <f t="shared" ca="1" si="2"/>
        <v>0</v>
      </c>
      <c r="R12" s="14">
        <f t="shared" ca="1" si="3"/>
        <v>0</v>
      </c>
      <c r="S12" s="14">
        <f t="shared" ca="1" si="4"/>
        <v>0</v>
      </c>
      <c r="T12" s="74">
        <f t="shared" ca="1" si="5"/>
        <v>0</v>
      </c>
    </row>
    <row r="13" spans="1:20" ht="15.75" x14ac:dyDescent="0.25">
      <c r="A13" s="73">
        <v>4</v>
      </c>
      <c r="B13" s="6" t="s">
        <v>100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4">
        <f t="shared" ca="1" si="1"/>
        <v>0</v>
      </c>
      <c r="Q13" s="14">
        <f t="shared" ca="1" si="2"/>
        <v>0</v>
      </c>
      <c r="R13" s="14">
        <f t="shared" ca="1" si="3"/>
        <v>0</v>
      </c>
      <c r="S13" s="14">
        <f t="shared" ca="1" si="4"/>
        <v>0</v>
      </c>
      <c r="T13" s="74">
        <f t="shared" ca="1" si="5"/>
        <v>0</v>
      </c>
    </row>
    <row r="14" spans="1:20" ht="15.75" x14ac:dyDescent="0.25">
      <c r="A14" s="73">
        <v>5</v>
      </c>
      <c r="B14" s="8" t="s">
        <v>15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4">
        <f t="shared" ca="1" si="1"/>
        <v>0</v>
      </c>
      <c r="Q14" s="14">
        <f t="shared" ca="1" si="2"/>
        <v>0</v>
      </c>
      <c r="R14" s="14">
        <f t="shared" ca="1" si="3"/>
        <v>0</v>
      </c>
      <c r="S14" s="14">
        <f t="shared" ca="1" si="4"/>
        <v>0</v>
      </c>
      <c r="T14" s="74">
        <f t="shared" ca="1" si="5"/>
        <v>0</v>
      </c>
    </row>
    <row r="15" spans="1:20" ht="15.75" x14ac:dyDescent="0.25">
      <c r="A15" s="73">
        <v>6</v>
      </c>
      <c r="B15" s="4" t="s">
        <v>122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14">
        <f t="shared" ca="1" si="1"/>
        <v>0</v>
      </c>
      <c r="Q15" s="14">
        <f t="shared" ca="1" si="2"/>
        <v>0</v>
      </c>
      <c r="R15" s="14">
        <f t="shared" ca="1" si="3"/>
        <v>0</v>
      </c>
      <c r="S15" s="14">
        <f t="shared" ca="1" si="4"/>
        <v>0</v>
      </c>
      <c r="T15" s="74">
        <f t="shared" ca="1" si="5"/>
        <v>0</v>
      </c>
    </row>
    <row r="16" spans="1:20" ht="15.75" x14ac:dyDescent="0.25">
      <c r="A16" s="73">
        <v>7</v>
      </c>
      <c r="B16" s="5" t="s">
        <v>49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4">
        <f t="shared" ca="1" si="1"/>
        <v>0</v>
      </c>
      <c r="Q16" s="14">
        <f t="shared" ca="1" si="2"/>
        <v>0</v>
      </c>
      <c r="R16" s="14">
        <f t="shared" ca="1" si="3"/>
        <v>0</v>
      </c>
      <c r="S16" s="14">
        <f t="shared" ca="1" si="4"/>
        <v>0</v>
      </c>
      <c r="T16" s="74">
        <f t="shared" ca="1" si="5"/>
        <v>0</v>
      </c>
    </row>
    <row r="17" spans="1:20" ht="15.75" x14ac:dyDescent="0.25">
      <c r="A17" s="73">
        <v>8</v>
      </c>
      <c r="B17" s="4" t="s">
        <v>12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4">
        <f t="shared" ca="1" si="1"/>
        <v>0</v>
      </c>
      <c r="Q17" s="14">
        <f t="shared" ca="1" si="2"/>
        <v>0</v>
      </c>
      <c r="R17" s="14">
        <f t="shared" ca="1" si="3"/>
        <v>0</v>
      </c>
      <c r="S17" s="14">
        <f t="shared" ca="1" si="4"/>
        <v>0</v>
      </c>
      <c r="T17" s="74">
        <f t="shared" ca="1" si="5"/>
        <v>0</v>
      </c>
    </row>
    <row r="18" spans="1:20" ht="15.75" x14ac:dyDescent="0.25">
      <c r="A18" s="73">
        <v>9</v>
      </c>
      <c r="B18" s="6" t="s">
        <v>101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14">
        <f t="shared" ca="1" si="1"/>
        <v>0</v>
      </c>
      <c r="Q18" s="14">
        <f t="shared" ca="1" si="2"/>
        <v>0</v>
      </c>
      <c r="R18" s="14">
        <f t="shared" ca="1" si="3"/>
        <v>0</v>
      </c>
      <c r="S18" s="14">
        <f t="shared" ca="1" si="4"/>
        <v>0</v>
      </c>
      <c r="T18" s="74">
        <f t="shared" ca="1" si="5"/>
        <v>0</v>
      </c>
    </row>
    <row r="19" spans="1:20" ht="15.75" x14ac:dyDescent="0.25">
      <c r="A19" s="73">
        <v>10</v>
      </c>
      <c r="B19" s="4" t="s">
        <v>29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14">
        <f t="shared" ca="1" si="1"/>
        <v>0</v>
      </c>
      <c r="Q19" s="14">
        <f t="shared" ca="1" si="2"/>
        <v>0</v>
      </c>
      <c r="R19" s="14">
        <f t="shared" ca="1" si="3"/>
        <v>0</v>
      </c>
      <c r="S19" s="14">
        <f t="shared" ca="1" si="4"/>
        <v>0</v>
      </c>
      <c r="T19" s="74">
        <f t="shared" ca="1" si="5"/>
        <v>0</v>
      </c>
    </row>
    <row r="20" spans="1:20" ht="15.75" x14ac:dyDescent="0.25">
      <c r="A20" s="73">
        <v>11</v>
      </c>
      <c r="B20" s="4" t="s">
        <v>99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14">
        <f t="shared" ca="1" si="1"/>
        <v>0</v>
      </c>
      <c r="Q20" s="14">
        <f t="shared" ca="1" si="2"/>
        <v>0</v>
      </c>
      <c r="R20" s="14">
        <f t="shared" ca="1" si="3"/>
        <v>0</v>
      </c>
      <c r="S20" s="14">
        <f t="shared" ca="1" si="4"/>
        <v>0</v>
      </c>
      <c r="T20" s="74">
        <f t="shared" ca="1" si="5"/>
        <v>0</v>
      </c>
    </row>
    <row r="21" spans="1:20" ht="15.75" x14ac:dyDescent="0.25">
      <c r="A21" s="73">
        <v>12</v>
      </c>
      <c r="B21" s="6" t="s">
        <v>32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14">
        <f t="shared" ca="1" si="1"/>
        <v>0</v>
      </c>
      <c r="Q21" s="14">
        <f t="shared" ca="1" si="2"/>
        <v>0</v>
      </c>
      <c r="R21" s="14">
        <f t="shared" ca="1" si="3"/>
        <v>0</v>
      </c>
      <c r="S21" s="14">
        <f t="shared" ca="1" si="4"/>
        <v>0</v>
      </c>
      <c r="T21" s="74">
        <f t="shared" ca="1" si="5"/>
        <v>0</v>
      </c>
    </row>
    <row r="22" spans="1:20" ht="15.75" x14ac:dyDescent="0.25">
      <c r="A22" s="73">
        <v>13</v>
      </c>
      <c r="B22" s="8" t="s">
        <v>41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14">
        <f t="shared" ca="1" si="1"/>
        <v>0</v>
      </c>
      <c r="Q22" s="14">
        <f t="shared" ca="1" si="2"/>
        <v>0</v>
      </c>
      <c r="R22" s="14">
        <f t="shared" ca="1" si="3"/>
        <v>0</v>
      </c>
      <c r="S22" s="14">
        <f t="shared" ca="1" si="4"/>
        <v>0</v>
      </c>
      <c r="T22" s="74">
        <f t="shared" ca="1" si="5"/>
        <v>0</v>
      </c>
    </row>
    <row r="23" spans="1:20" ht="15.75" x14ac:dyDescent="0.25">
      <c r="A23" s="73">
        <v>14</v>
      </c>
      <c r="B23" s="8" t="s">
        <v>39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4">
        <f t="shared" ca="1" si="1"/>
        <v>0</v>
      </c>
      <c r="Q23" s="14">
        <f t="shared" ca="1" si="2"/>
        <v>0</v>
      </c>
      <c r="R23" s="14">
        <f t="shared" ca="1" si="3"/>
        <v>0</v>
      </c>
      <c r="S23" s="14">
        <f t="shared" ca="1" si="4"/>
        <v>0</v>
      </c>
      <c r="T23" s="74">
        <f t="shared" ca="1" si="5"/>
        <v>0</v>
      </c>
    </row>
    <row r="24" spans="1:20" ht="15.75" x14ac:dyDescent="0.25">
      <c r="A24" s="73">
        <v>15</v>
      </c>
      <c r="B24" s="8" t="s">
        <v>120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14">
        <f t="shared" ca="1" si="1"/>
        <v>0</v>
      </c>
      <c r="Q24" s="14">
        <f t="shared" ca="1" si="2"/>
        <v>0</v>
      </c>
      <c r="R24" s="14">
        <f t="shared" ca="1" si="3"/>
        <v>0</v>
      </c>
      <c r="S24" s="14">
        <f t="shared" ca="1" si="4"/>
        <v>0</v>
      </c>
      <c r="T24" s="74">
        <f t="shared" ca="1" si="5"/>
        <v>0</v>
      </c>
    </row>
    <row r="25" spans="1:20" ht="15.75" x14ac:dyDescent="0.25">
      <c r="A25" s="73">
        <v>16</v>
      </c>
      <c r="B25" s="8" t="s">
        <v>74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14">
        <f t="shared" ca="1" si="1"/>
        <v>0</v>
      </c>
      <c r="Q25" s="14">
        <f t="shared" ca="1" si="2"/>
        <v>0</v>
      </c>
      <c r="R25" s="14">
        <f t="shared" ca="1" si="3"/>
        <v>0</v>
      </c>
      <c r="S25" s="14">
        <f t="shared" ca="1" si="4"/>
        <v>0</v>
      </c>
      <c r="T25" s="74">
        <f t="shared" ca="1" si="5"/>
        <v>0</v>
      </c>
    </row>
    <row r="26" spans="1:20" ht="15.75" x14ac:dyDescent="0.25">
      <c r="A26" s="73">
        <v>17</v>
      </c>
      <c r="B26" s="8" t="s">
        <v>75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14">
        <f t="shared" ca="1" si="1"/>
        <v>0</v>
      </c>
      <c r="Q26" s="14">
        <f t="shared" ca="1" si="2"/>
        <v>0</v>
      </c>
      <c r="R26" s="14">
        <f t="shared" ca="1" si="3"/>
        <v>0</v>
      </c>
      <c r="S26" s="14">
        <f t="shared" ca="1" si="4"/>
        <v>0</v>
      </c>
      <c r="T26" s="74">
        <f t="shared" ca="1" si="5"/>
        <v>0</v>
      </c>
    </row>
    <row r="27" spans="1:20" ht="15.75" x14ac:dyDescent="0.25">
      <c r="A27" s="73">
        <v>18</v>
      </c>
      <c r="B27" s="8" t="s">
        <v>133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14">
        <f t="shared" ca="1" si="1"/>
        <v>0</v>
      </c>
      <c r="Q27" s="14">
        <f t="shared" ca="1" si="2"/>
        <v>0</v>
      </c>
      <c r="R27" s="14">
        <f t="shared" ca="1" si="3"/>
        <v>0</v>
      </c>
      <c r="S27" s="14">
        <f t="shared" ca="1" si="4"/>
        <v>0</v>
      </c>
      <c r="T27" s="74">
        <f t="shared" ca="1" si="5"/>
        <v>0</v>
      </c>
    </row>
    <row r="28" spans="1:20" ht="15.75" x14ac:dyDescent="0.25">
      <c r="A28" s="84" t="s">
        <v>17</v>
      </c>
      <c r="B28" s="2"/>
      <c r="C28" s="62"/>
      <c r="D28" s="62"/>
      <c r="E28" s="62"/>
      <c r="F28" s="62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75"/>
    </row>
    <row r="29" spans="1:20" ht="15.75" x14ac:dyDescent="0.25">
      <c r="A29" s="73">
        <v>1</v>
      </c>
      <c r="B29" s="4" t="s">
        <v>70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4">
        <f ca="1">COUNTIF(C29:O29,$P$4)</f>
        <v>0</v>
      </c>
      <c r="Q29" s="14">
        <f ca="1">COUNTIF(C29:O29,$Q$4)</f>
        <v>0</v>
      </c>
      <c r="R29" s="14">
        <f ca="1">COUNTIF(C29:O29,$R$4)</f>
        <v>0</v>
      </c>
      <c r="S29" s="14">
        <f ca="1">COUNTIF(C29:O29,$S$4)</f>
        <v>0</v>
      </c>
      <c r="T29" s="74">
        <f ca="1">SUM(P29:S29)</f>
        <v>0</v>
      </c>
    </row>
    <row r="30" spans="1:20" ht="15.75" x14ac:dyDescent="0.25">
      <c r="A30" s="73">
        <v>2</v>
      </c>
      <c r="B30" s="4" t="s">
        <v>78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14">
        <f t="shared" ref="P30:P38" ca="1" si="6">COUNTIF(C30:O30,$P$4)</f>
        <v>0</v>
      </c>
      <c r="Q30" s="14">
        <f t="shared" ref="Q30:Q38" ca="1" si="7">COUNTIF(C30:O30,$Q$4)</f>
        <v>0</v>
      </c>
      <c r="R30" s="14">
        <f t="shared" ref="R30:R38" ca="1" si="8">COUNTIF(C30:O30,$R$4)</f>
        <v>0</v>
      </c>
      <c r="S30" s="14">
        <f t="shared" ref="S30:S38" ca="1" si="9">COUNTIF(C30:O30,$S$4)</f>
        <v>0</v>
      </c>
      <c r="T30" s="74">
        <f t="shared" ref="T30:T38" ca="1" si="10">SUM(P30:S30)</f>
        <v>0</v>
      </c>
    </row>
    <row r="31" spans="1:20" ht="15.75" x14ac:dyDescent="0.25">
      <c r="A31" s="73">
        <v>3</v>
      </c>
      <c r="B31" s="4" t="s">
        <v>28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14">
        <f t="shared" ca="1" si="6"/>
        <v>0</v>
      </c>
      <c r="Q31" s="14">
        <f t="shared" ca="1" si="7"/>
        <v>0</v>
      </c>
      <c r="R31" s="14">
        <f t="shared" ca="1" si="8"/>
        <v>0</v>
      </c>
      <c r="S31" s="14">
        <f t="shared" ca="1" si="9"/>
        <v>0</v>
      </c>
      <c r="T31" s="74">
        <f t="shared" ca="1" si="10"/>
        <v>0</v>
      </c>
    </row>
    <row r="32" spans="1:20" ht="15.75" x14ac:dyDescent="0.25">
      <c r="A32" s="73">
        <v>4</v>
      </c>
      <c r="B32" s="4" t="s">
        <v>68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14">
        <f t="shared" ca="1" si="6"/>
        <v>0</v>
      </c>
      <c r="Q32" s="14">
        <f t="shared" ca="1" si="7"/>
        <v>0</v>
      </c>
      <c r="R32" s="14">
        <f t="shared" ca="1" si="8"/>
        <v>0</v>
      </c>
      <c r="S32" s="14">
        <f t="shared" ca="1" si="9"/>
        <v>0</v>
      </c>
      <c r="T32" s="74">
        <f t="shared" ca="1" si="10"/>
        <v>0</v>
      </c>
    </row>
    <row r="33" spans="1:20" ht="15.75" x14ac:dyDescent="0.25">
      <c r="A33" s="73">
        <v>5</v>
      </c>
      <c r="B33" s="10" t="s">
        <v>19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14">
        <f t="shared" ca="1" si="6"/>
        <v>0</v>
      </c>
      <c r="Q33" s="14">
        <f t="shared" ca="1" si="7"/>
        <v>0</v>
      </c>
      <c r="R33" s="14">
        <f t="shared" ca="1" si="8"/>
        <v>0</v>
      </c>
      <c r="S33" s="14">
        <f t="shared" ca="1" si="9"/>
        <v>0</v>
      </c>
      <c r="T33" s="74">
        <f t="shared" ca="1" si="10"/>
        <v>0</v>
      </c>
    </row>
    <row r="34" spans="1:20" ht="15.75" x14ac:dyDescent="0.25">
      <c r="A34" s="73">
        <v>6</v>
      </c>
      <c r="B34" s="4" t="s">
        <v>18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14">
        <f t="shared" ca="1" si="6"/>
        <v>0</v>
      </c>
      <c r="Q34" s="14">
        <f t="shared" ca="1" si="7"/>
        <v>0</v>
      </c>
      <c r="R34" s="14">
        <f t="shared" ca="1" si="8"/>
        <v>0</v>
      </c>
      <c r="S34" s="14">
        <f t="shared" ca="1" si="9"/>
        <v>0</v>
      </c>
      <c r="T34" s="74">
        <f t="shared" ca="1" si="10"/>
        <v>0</v>
      </c>
    </row>
    <row r="35" spans="1:20" ht="15.75" x14ac:dyDescent="0.25">
      <c r="A35" s="73">
        <v>7</v>
      </c>
      <c r="B35" s="4" t="s">
        <v>102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14">
        <f t="shared" ca="1" si="6"/>
        <v>0</v>
      </c>
      <c r="Q35" s="14">
        <f t="shared" ca="1" si="7"/>
        <v>0</v>
      </c>
      <c r="R35" s="14">
        <f t="shared" ca="1" si="8"/>
        <v>0</v>
      </c>
      <c r="S35" s="14">
        <f t="shared" ca="1" si="9"/>
        <v>0</v>
      </c>
      <c r="T35" s="74">
        <f t="shared" ca="1" si="10"/>
        <v>0</v>
      </c>
    </row>
    <row r="36" spans="1:20" ht="15.75" x14ac:dyDescent="0.25">
      <c r="A36" s="73">
        <v>8</v>
      </c>
      <c r="B36" s="4" t="s">
        <v>67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14">
        <f t="shared" ca="1" si="6"/>
        <v>0</v>
      </c>
      <c r="Q36" s="14">
        <f t="shared" ca="1" si="7"/>
        <v>0</v>
      </c>
      <c r="R36" s="14">
        <f t="shared" ca="1" si="8"/>
        <v>0</v>
      </c>
      <c r="S36" s="14">
        <f t="shared" ca="1" si="9"/>
        <v>0</v>
      </c>
      <c r="T36" s="74">
        <f t="shared" ca="1" si="10"/>
        <v>0</v>
      </c>
    </row>
    <row r="37" spans="1:20" ht="15.75" x14ac:dyDescent="0.25">
      <c r="A37" s="73"/>
      <c r="B37" s="4" t="s">
        <v>134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14">
        <f t="shared" ca="1" si="6"/>
        <v>0</v>
      </c>
      <c r="Q37" s="14">
        <f t="shared" ca="1" si="7"/>
        <v>0</v>
      </c>
      <c r="R37" s="14">
        <f t="shared" ca="1" si="8"/>
        <v>0</v>
      </c>
      <c r="S37" s="14">
        <f t="shared" ca="1" si="9"/>
        <v>0</v>
      </c>
      <c r="T37" s="74">
        <f t="shared" ca="1" si="10"/>
        <v>0</v>
      </c>
    </row>
    <row r="38" spans="1:20" ht="15.75" x14ac:dyDescent="0.25">
      <c r="A38" s="73"/>
      <c r="B38" s="4" t="s">
        <v>135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14">
        <f t="shared" ca="1" si="6"/>
        <v>0</v>
      </c>
      <c r="Q38" s="14">
        <f t="shared" ca="1" si="7"/>
        <v>0</v>
      </c>
      <c r="R38" s="14">
        <f t="shared" ca="1" si="8"/>
        <v>0</v>
      </c>
      <c r="S38" s="14">
        <f t="shared" ca="1" si="9"/>
        <v>0</v>
      </c>
      <c r="T38" s="74">
        <f t="shared" ca="1" si="10"/>
        <v>0</v>
      </c>
    </row>
    <row r="39" spans="1:20" ht="15.75" x14ac:dyDescent="0.25">
      <c r="A39" s="85" t="s">
        <v>20</v>
      </c>
      <c r="B39" s="7"/>
      <c r="C39" s="62"/>
      <c r="D39" s="62"/>
      <c r="E39" s="62"/>
      <c r="F39" s="6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75"/>
    </row>
    <row r="40" spans="1:20" ht="15.75" x14ac:dyDescent="0.25">
      <c r="A40" s="71">
        <v>1</v>
      </c>
      <c r="B40" s="4" t="s">
        <v>21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4">
        <f ca="1">COUNTIF(C40:O40,$P$4)</f>
        <v>0</v>
      </c>
      <c r="Q40" s="14">
        <f ca="1">COUNTIF(C40:O40,$Q$4)</f>
        <v>0</v>
      </c>
      <c r="R40" s="14">
        <f ca="1">COUNTIF(C40:O40,$R$4)</f>
        <v>0</v>
      </c>
      <c r="S40" s="14">
        <f ca="1">COUNTIF(C40:O40,$S$4)</f>
        <v>0</v>
      </c>
      <c r="T40" s="74">
        <f ca="1">SUM(P40:S40)</f>
        <v>0</v>
      </c>
    </row>
    <row r="41" spans="1:20" ht="15.75" x14ac:dyDescent="0.25">
      <c r="A41" s="71">
        <v>2</v>
      </c>
      <c r="B41" s="4" t="s">
        <v>23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14">
        <f t="shared" ref="P41:P46" ca="1" si="11">COUNTIF(C41:O41,$P$4)</f>
        <v>0</v>
      </c>
      <c r="Q41" s="14">
        <f t="shared" ref="Q41:Q46" ca="1" si="12">COUNTIF(C41:O41,$Q$4)</f>
        <v>0</v>
      </c>
      <c r="R41" s="14">
        <f t="shared" ref="R41:R46" ca="1" si="13">COUNTIF(C41:O41,$R$4)</f>
        <v>0</v>
      </c>
      <c r="S41" s="14">
        <f t="shared" ref="S41:S46" ca="1" si="14">COUNTIF(C41:O41,$S$4)</f>
        <v>0</v>
      </c>
      <c r="T41" s="74">
        <f t="shared" ref="T41:T46" ca="1" si="15">SUM(P41:S41)</f>
        <v>0</v>
      </c>
    </row>
    <row r="42" spans="1:20" ht="15.75" x14ac:dyDescent="0.25">
      <c r="A42" s="71">
        <v>3</v>
      </c>
      <c r="B42" s="4" t="s">
        <v>26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14">
        <f t="shared" ca="1" si="11"/>
        <v>0</v>
      </c>
      <c r="Q42" s="14">
        <f t="shared" ca="1" si="12"/>
        <v>0</v>
      </c>
      <c r="R42" s="14">
        <f t="shared" ca="1" si="13"/>
        <v>0</v>
      </c>
      <c r="S42" s="14">
        <f t="shared" ca="1" si="14"/>
        <v>0</v>
      </c>
      <c r="T42" s="74">
        <f t="shared" ca="1" si="15"/>
        <v>0</v>
      </c>
    </row>
    <row r="43" spans="1:20" ht="15.75" x14ac:dyDescent="0.25">
      <c r="A43" s="71">
        <v>4</v>
      </c>
      <c r="B43" s="4" t="s">
        <v>27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14">
        <f t="shared" ca="1" si="11"/>
        <v>0</v>
      </c>
      <c r="Q43" s="14">
        <f t="shared" ca="1" si="12"/>
        <v>0</v>
      </c>
      <c r="R43" s="14">
        <f t="shared" ca="1" si="13"/>
        <v>0</v>
      </c>
      <c r="S43" s="14">
        <f t="shared" ca="1" si="14"/>
        <v>0</v>
      </c>
      <c r="T43" s="74">
        <f t="shared" ca="1" si="15"/>
        <v>0</v>
      </c>
    </row>
    <row r="44" spans="1:20" ht="15.75" x14ac:dyDescent="0.25">
      <c r="A44" s="71">
        <v>5</v>
      </c>
      <c r="B44" s="4" t="s">
        <v>25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14">
        <f t="shared" ca="1" si="11"/>
        <v>0</v>
      </c>
      <c r="Q44" s="14">
        <f t="shared" ca="1" si="12"/>
        <v>0</v>
      </c>
      <c r="R44" s="14">
        <f t="shared" ca="1" si="13"/>
        <v>0</v>
      </c>
      <c r="S44" s="14">
        <f t="shared" ca="1" si="14"/>
        <v>0</v>
      </c>
      <c r="T44" s="74">
        <f t="shared" ca="1" si="15"/>
        <v>0</v>
      </c>
    </row>
    <row r="45" spans="1:20" ht="15.75" x14ac:dyDescent="0.25">
      <c r="A45" s="71">
        <v>6</v>
      </c>
      <c r="B45" s="4" t="s">
        <v>22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14">
        <f t="shared" ca="1" si="11"/>
        <v>0</v>
      </c>
      <c r="Q45" s="14">
        <f t="shared" ca="1" si="12"/>
        <v>0</v>
      </c>
      <c r="R45" s="14">
        <f t="shared" ca="1" si="13"/>
        <v>0</v>
      </c>
      <c r="S45" s="14">
        <f t="shared" ca="1" si="14"/>
        <v>0</v>
      </c>
      <c r="T45" s="74">
        <f t="shared" ca="1" si="15"/>
        <v>0</v>
      </c>
    </row>
    <row r="46" spans="1:20" ht="15.75" x14ac:dyDescent="0.25">
      <c r="A46" s="76">
        <v>7</v>
      </c>
      <c r="B46" s="69" t="s">
        <v>24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14">
        <f t="shared" ca="1" si="11"/>
        <v>0</v>
      </c>
      <c r="Q46" s="14">
        <f t="shared" ca="1" si="12"/>
        <v>0</v>
      </c>
      <c r="R46" s="14">
        <f t="shared" ca="1" si="13"/>
        <v>0</v>
      </c>
      <c r="S46" s="14">
        <f t="shared" ca="1" si="14"/>
        <v>0</v>
      </c>
      <c r="T46" s="74">
        <f t="shared" ca="1" si="15"/>
        <v>0</v>
      </c>
    </row>
    <row r="47" spans="1:20" ht="15.75" x14ac:dyDescent="0.25">
      <c r="A47" s="26"/>
      <c r="B47" s="15" t="s">
        <v>82</v>
      </c>
      <c r="C47" s="24" t="s">
        <v>73</v>
      </c>
      <c r="D47" s="42">
        <f>COUNTIF(D4:D46,$C$48)</f>
        <v>0</v>
      </c>
      <c r="E47" s="42">
        <f>COUNTIF(E4:E46,$C$48)</f>
        <v>0</v>
      </c>
      <c r="F47" s="42">
        <f>COUNTIF(F4:F46,$C$48)</f>
        <v>0</v>
      </c>
      <c r="G47" s="42">
        <f>COUNTIF(G4:G46,$C$48)</f>
        <v>0</v>
      </c>
      <c r="H47" s="42">
        <f>COUNTIF(H4:H46,$C$48)</f>
        <v>0</v>
      </c>
      <c r="I47" s="42"/>
      <c r="J47" s="42"/>
      <c r="K47" s="42"/>
      <c r="L47" s="42"/>
      <c r="M47" s="42">
        <f>COUNTIF(M4:M46,$C$48)</f>
        <v>0</v>
      </c>
      <c r="N47" s="42">
        <f>COUNTIF(N4:N46,$C$48)</f>
        <v>0</v>
      </c>
      <c r="O47" s="42">
        <f>COUNTIF(O4:O46,$C$48)</f>
        <v>0</v>
      </c>
      <c r="P47" s="13">
        <f ca="1">SUM(P4:P8,P10:P23,P29:P36,P40:P46)</f>
        <v>0</v>
      </c>
      <c r="Q47" s="13"/>
      <c r="R47" s="13"/>
      <c r="S47" s="13"/>
      <c r="T47" s="13"/>
    </row>
    <row r="48" spans="1:20" ht="15.75" x14ac:dyDescent="0.25">
      <c r="A48" s="12"/>
      <c r="B48" s="15" t="s">
        <v>85</v>
      </c>
      <c r="C48" s="24" t="s">
        <v>52</v>
      </c>
      <c r="D48" s="42">
        <f>COUNTIF(D4:D46,$C$49)</f>
        <v>0</v>
      </c>
      <c r="E48" s="42">
        <f>COUNTIF(E4:E46,$C$49)</f>
        <v>0</v>
      </c>
      <c r="F48" s="42">
        <f>COUNTIF(F4:F46,$C$49)</f>
        <v>0</v>
      </c>
      <c r="G48" s="42">
        <f>COUNTIF(G4:G46,$C$49)</f>
        <v>0</v>
      </c>
      <c r="H48" s="42">
        <f>COUNTIF(H4:H46,$C$49)</f>
        <v>0</v>
      </c>
      <c r="I48" s="42"/>
      <c r="J48" s="42"/>
      <c r="K48" s="42"/>
      <c r="L48" s="42"/>
      <c r="M48" s="42">
        <f>COUNTIF(M4:M46,$C$49)</f>
        <v>0</v>
      </c>
      <c r="N48" s="42">
        <f>COUNTIF(N4:N46,$C$49)</f>
        <v>0</v>
      </c>
      <c r="O48" s="42">
        <f>COUNTIF(O4:O46,$C$49)</f>
        <v>0</v>
      </c>
      <c r="P48" s="13"/>
      <c r="Q48" s="13"/>
      <c r="R48" s="13"/>
      <c r="S48" s="13"/>
      <c r="T48" s="13"/>
    </row>
    <row r="49" spans="2:20" ht="15.75" x14ac:dyDescent="0.25">
      <c r="B49" s="15" t="s">
        <v>83</v>
      </c>
      <c r="C49" s="24" t="s">
        <v>79</v>
      </c>
      <c r="D49" s="42">
        <f>COUNTIF(D4:D46,$C$50)</f>
        <v>0</v>
      </c>
      <c r="E49" s="42">
        <f>COUNTIF(E4:E46,$C$50)</f>
        <v>0</v>
      </c>
      <c r="F49" s="42">
        <f>COUNTIF(F4:F46,$C$50)</f>
        <v>0</v>
      </c>
      <c r="G49" s="42">
        <f>COUNTIF(G4:G46,$C$50)</f>
        <v>0</v>
      </c>
      <c r="H49" s="42">
        <f>COUNTIF(H4:H46,$C$50)</f>
        <v>0</v>
      </c>
      <c r="I49" s="42"/>
      <c r="J49" s="42"/>
      <c r="K49" s="42"/>
      <c r="L49" s="42"/>
      <c r="M49" s="42">
        <f>COUNTIF(M4:M46,$C$50)</f>
        <v>0</v>
      </c>
      <c r="N49" s="42">
        <f>COUNTIF(N4:N46,$C$50)</f>
        <v>0</v>
      </c>
      <c r="O49" s="42">
        <f>COUNTIF(O4:O46,$C$50)</f>
        <v>0</v>
      </c>
      <c r="P49" s="13"/>
      <c r="Q49" s="13"/>
      <c r="R49" s="13"/>
      <c r="S49" s="13"/>
      <c r="T49" s="13"/>
    </row>
    <row r="50" spans="2:20" ht="15.75" x14ac:dyDescent="0.25">
      <c r="B50" s="15" t="s">
        <v>84</v>
      </c>
      <c r="C50" s="24" t="s">
        <v>71</v>
      </c>
      <c r="D50" s="42">
        <f>COUNTIF(D4:D46,$C$51)</f>
        <v>0</v>
      </c>
      <c r="E50" s="42">
        <f>COUNTIF(E4:E46,$C$51)</f>
        <v>0</v>
      </c>
      <c r="F50" s="42">
        <f>COUNTIF(F4:F46,$C$51)</f>
        <v>0</v>
      </c>
      <c r="G50" s="42">
        <f>COUNTIF(G4:G46,$C$51)</f>
        <v>0</v>
      </c>
      <c r="H50" s="42">
        <f>COUNTIF(H4:H46,$C$51)</f>
        <v>0</v>
      </c>
      <c r="I50" s="42"/>
      <c r="J50" s="42"/>
      <c r="K50" s="42"/>
      <c r="L50" s="42"/>
      <c r="M50" s="42">
        <f>COUNTIF(M4:M46,$C$51)</f>
        <v>0</v>
      </c>
      <c r="N50" s="42">
        <f>COUNTIF(N4:N46,$C$51)</f>
        <v>0</v>
      </c>
      <c r="O50" s="42">
        <f>COUNTIF(O4:O46,$C$51)</f>
        <v>0</v>
      </c>
      <c r="P50" s="13"/>
      <c r="Q50" s="13"/>
      <c r="R50" s="13"/>
      <c r="S50" s="13"/>
      <c r="T50" s="13"/>
    </row>
    <row r="51" spans="2:20" ht="15.75" x14ac:dyDescent="0.25">
      <c r="B51" s="15" t="s">
        <v>72</v>
      </c>
      <c r="C51" s="24" t="s">
        <v>81</v>
      </c>
      <c r="D51" s="42">
        <f t="shared" ref="D51:O51" si="16">SUM(D47:D50)</f>
        <v>0</v>
      </c>
      <c r="E51" s="42">
        <f t="shared" si="16"/>
        <v>0</v>
      </c>
      <c r="F51" s="42">
        <f t="shared" si="16"/>
        <v>0</v>
      </c>
      <c r="G51" s="42">
        <f t="shared" si="16"/>
        <v>0</v>
      </c>
      <c r="H51" s="42">
        <f t="shared" si="16"/>
        <v>0</v>
      </c>
      <c r="I51" s="42"/>
      <c r="J51" s="42"/>
      <c r="K51" s="42"/>
      <c r="L51" s="42"/>
      <c r="M51" s="42">
        <f t="shared" si="16"/>
        <v>0</v>
      </c>
      <c r="N51" s="42">
        <f t="shared" si="16"/>
        <v>0</v>
      </c>
      <c r="O51" s="42">
        <f t="shared" si="16"/>
        <v>0</v>
      </c>
      <c r="P51" s="13"/>
      <c r="Q51" s="13"/>
      <c r="R51" s="13"/>
      <c r="S51" s="13"/>
      <c r="T51" s="13"/>
    </row>
  </sheetData>
  <mergeCells count="16">
    <mergeCell ref="R1:R2"/>
    <mergeCell ref="S1:S2"/>
    <mergeCell ref="T1:T2"/>
    <mergeCell ref="M1:M2"/>
    <mergeCell ref="A2:B2"/>
    <mergeCell ref="D1:D2"/>
    <mergeCell ref="E1:E2"/>
    <mergeCell ref="F1:F2"/>
    <mergeCell ref="G1:G2"/>
    <mergeCell ref="H1:H2"/>
    <mergeCell ref="A1:B1"/>
    <mergeCell ref="C1:C2"/>
    <mergeCell ref="N1:N2"/>
    <mergeCell ref="O1:O2"/>
    <mergeCell ref="P1:P2"/>
    <mergeCell ref="Q1:Q2"/>
  </mergeCells>
  <conditionalFormatting sqref="C4:O8 C10:O27 C29:O38 C40:O46">
    <cfRule type="cellIs" dxfId="2" priority="2" operator="equal">
      <formula>"L"</formula>
    </cfRule>
    <cfRule type="cellIs" dxfId="1" priority="3" operator="equal">
      <formula>"F"</formula>
    </cfRule>
  </conditionalFormatting>
  <conditionalFormatting sqref="E4:O8 E10:O27 E29:O38 E40:O46">
    <cfRule type="cellIs" dxfId="0" priority="1" operator="equal">
      <formula>"A"</formula>
    </cfRule>
  </conditionalFormatting>
  <pageMargins left="0.7" right="0.12" top="0.75" bottom="0.12" header="0.3" footer="0.3"/>
  <pageSetup paperSize="14" scale="99" fitToWidth="0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F91"/>
  <sheetViews>
    <sheetView view="pageBreakPreview" topLeftCell="A58" zoomScale="85" zoomScaleNormal="100" zoomScaleSheetLayoutView="85" zoomScalePageLayoutView="55" workbookViewId="0">
      <selection activeCell="E49" sqref="E49"/>
    </sheetView>
  </sheetViews>
  <sheetFormatPr baseColWidth="10" defaultRowHeight="16.5" x14ac:dyDescent="0.3"/>
  <cols>
    <col min="1" max="1" width="5.42578125" style="64" bestFit="1" customWidth="1"/>
    <col min="2" max="2" width="49.140625" style="64" bestFit="1" customWidth="1"/>
    <col min="3" max="3" width="10.7109375" style="64" customWidth="1"/>
    <col min="4" max="4" width="15.7109375" style="64" customWidth="1"/>
    <col min="5" max="5" width="10.7109375" style="64" customWidth="1"/>
    <col min="6" max="6" width="15.7109375" style="64" bestFit="1" customWidth="1"/>
  </cols>
  <sheetData>
    <row r="1" spans="1:6" ht="31.5" customHeight="1" x14ac:dyDescent="0.25">
      <c r="A1" s="192" t="s">
        <v>95</v>
      </c>
      <c r="B1" s="192"/>
      <c r="C1" s="192"/>
      <c r="D1" s="192"/>
      <c r="E1" s="192"/>
      <c r="F1" s="192"/>
    </row>
    <row r="2" spans="1:6" s="137" customFormat="1" ht="55.5" customHeight="1" x14ac:dyDescent="0.25">
      <c r="A2" s="195" t="s">
        <v>188</v>
      </c>
      <c r="B2" s="196"/>
      <c r="C2" s="196"/>
      <c r="D2" s="196"/>
      <c r="E2" s="196"/>
      <c r="F2" s="197"/>
    </row>
    <row r="3" spans="1:6" ht="30" x14ac:dyDescent="0.25">
      <c r="A3" s="43" t="s">
        <v>2</v>
      </c>
      <c r="B3" s="43" t="s">
        <v>3</v>
      </c>
      <c r="C3" s="43" t="s">
        <v>63</v>
      </c>
      <c r="D3" s="44" t="s">
        <v>44</v>
      </c>
      <c r="E3" s="44" t="s">
        <v>63</v>
      </c>
      <c r="F3" s="56" t="s">
        <v>45</v>
      </c>
    </row>
    <row r="4" spans="1:6" ht="30" customHeight="1" x14ac:dyDescent="0.3">
      <c r="A4" s="45">
        <v>1</v>
      </c>
      <c r="B4" s="46" t="str">
        <f>+'ASISTENCIA 1'!B5</f>
        <v xml:space="preserve">QUISPE RICALDE SAUL </v>
      </c>
      <c r="C4" s="55"/>
      <c r="D4" s="55"/>
      <c r="E4" s="55"/>
      <c r="F4" s="55"/>
    </row>
    <row r="5" spans="1:6" ht="30" customHeight="1" x14ac:dyDescent="0.3">
      <c r="A5" s="45">
        <v>2</v>
      </c>
      <c r="B5" s="46" t="str">
        <f>+'ASISTENCIA 1'!B6</f>
        <v xml:space="preserve">CALLAPA CRUZ ARMIN </v>
      </c>
      <c r="C5" s="55"/>
      <c r="D5" s="55"/>
      <c r="E5" s="55"/>
      <c r="F5" s="55"/>
    </row>
    <row r="6" spans="1:6" ht="30" customHeight="1" x14ac:dyDescent="0.3">
      <c r="A6" s="45">
        <v>3</v>
      </c>
      <c r="B6" s="46" t="str">
        <f>+'ASISTENCIA 1'!B7</f>
        <v>ESPADA ARAMAYO LIZBETH CRISTEL</v>
      </c>
      <c r="C6" s="55"/>
      <c r="D6" s="55"/>
      <c r="E6" s="55"/>
      <c r="F6" s="55"/>
    </row>
    <row r="7" spans="1:6" ht="30" customHeight="1" x14ac:dyDescent="0.3">
      <c r="A7" s="45">
        <v>4</v>
      </c>
      <c r="B7" s="46" t="str">
        <f>+'ASISTENCIA 1'!B8</f>
        <v>DURAN LOMAR ALBERTO</v>
      </c>
      <c r="C7" s="55"/>
      <c r="D7" s="55"/>
      <c r="E7" s="55"/>
      <c r="F7" s="55"/>
    </row>
    <row r="8" spans="1:6" ht="30" customHeight="1" x14ac:dyDescent="0.3">
      <c r="A8" s="45">
        <v>5</v>
      </c>
      <c r="B8" s="46" t="str">
        <f>+'ASISTENCIA 1'!B9</f>
        <v>SAAVEDRA SALAZAR DIEGO</v>
      </c>
      <c r="C8" s="55"/>
      <c r="D8" s="55"/>
      <c r="E8" s="55"/>
      <c r="F8" s="55"/>
    </row>
    <row r="9" spans="1:6" x14ac:dyDescent="0.3">
      <c r="A9" s="187" t="s">
        <v>11</v>
      </c>
      <c r="B9" s="188"/>
      <c r="C9" s="189"/>
      <c r="D9" s="190"/>
      <c r="E9" s="190"/>
      <c r="F9" s="191"/>
    </row>
    <row r="10" spans="1:6" ht="30" customHeight="1" x14ac:dyDescent="0.3">
      <c r="A10" s="45">
        <v>1</v>
      </c>
      <c r="B10" s="48" t="str">
        <f>+'ASISTENCIA 1'!B11</f>
        <v>ARIAS CAYO ZULMA ABIGAIL</v>
      </c>
      <c r="C10" s="55"/>
      <c r="D10" s="55"/>
      <c r="E10" s="55"/>
      <c r="F10" s="55"/>
    </row>
    <row r="11" spans="1:6" ht="30" customHeight="1" x14ac:dyDescent="0.3">
      <c r="A11" s="45">
        <v>2</v>
      </c>
      <c r="B11" s="48" t="str">
        <f>+'ASISTENCIA 1'!B12</f>
        <v>CALLE REQUENA GUILLERMINA LUZ</v>
      </c>
      <c r="C11" s="55"/>
      <c r="D11" s="55"/>
      <c r="E11" s="55"/>
      <c r="F11" s="55"/>
    </row>
    <row r="12" spans="1:6" ht="30" customHeight="1" x14ac:dyDescent="0.3">
      <c r="A12" s="45">
        <v>3</v>
      </c>
      <c r="B12" s="48" t="str">
        <f>+'ASISTENCIA 1'!B13</f>
        <v>ILAFAYA CORONADO CLAUDIA</v>
      </c>
      <c r="C12" s="55"/>
      <c r="D12" s="55"/>
      <c r="E12" s="55"/>
      <c r="F12" s="55"/>
    </row>
    <row r="13" spans="1:6" ht="30" customHeight="1" x14ac:dyDescent="0.3">
      <c r="A13" s="45">
        <v>4</v>
      </c>
      <c r="B13" s="48" t="str">
        <f>+'ASISTENCIA 1'!B14</f>
        <v xml:space="preserve">MACHACA MOLLO ELVIS JHONATHAN </v>
      </c>
      <c r="C13" s="55"/>
      <c r="D13" s="55"/>
      <c r="E13" s="55"/>
      <c r="F13" s="55"/>
    </row>
    <row r="14" spans="1:6" ht="30" customHeight="1" x14ac:dyDescent="0.3">
      <c r="A14" s="45">
        <v>5</v>
      </c>
      <c r="B14" s="48" t="str">
        <f>+'ASISTENCIA 1'!B15</f>
        <v>MEDRANO QUISPE RUTH ELIZABETH</v>
      </c>
      <c r="C14" s="55"/>
      <c r="D14" s="55"/>
      <c r="E14" s="55"/>
      <c r="F14" s="55"/>
    </row>
    <row r="15" spans="1:6" ht="30" customHeight="1" x14ac:dyDescent="0.3">
      <c r="A15" s="45">
        <v>6</v>
      </c>
      <c r="B15" s="48" t="str">
        <f>+'ASISTENCIA 1'!B16</f>
        <v>MENDOZA MOYA YOLANDA</v>
      </c>
      <c r="C15" s="55"/>
      <c r="D15" s="55"/>
      <c r="E15" s="55"/>
      <c r="F15" s="55"/>
    </row>
    <row r="16" spans="1:6" ht="30" customHeight="1" x14ac:dyDescent="0.3">
      <c r="A16" s="45">
        <v>7</v>
      </c>
      <c r="B16" s="48" t="str">
        <f>+'ASISTENCIA 1'!B17</f>
        <v>MORENO ESCOBAR GLADYS MARIA</v>
      </c>
      <c r="C16" s="55"/>
      <c r="D16" s="55"/>
      <c r="E16" s="55"/>
      <c r="F16" s="55"/>
    </row>
    <row r="17" spans="1:6" ht="30" customHeight="1" x14ac:dyDescent="0.3">
      <c r="A17" s="45">
        <v>8</v>
      </c>
      <c r="B17" s="48" t="str">
        <f>+'ASISTENCIA 1'!B18</f>
        <v>ORDOÑEZ ACEBO ELIAS JUSTO</v>
      </c>
      <c r="C17" s="55"/>
      <c r="D17" s="55"/>
      <c r="E17" s="55"/>
      <c r="F17" s="55"/>
    </row>
    <row r="18" spans="1:6" ht="30" customHeight="1" x14ac:dyDescent="0.3">
      <c r="A18" s="45">
        <v>9</v>
      </c>
      <c r="B18" s="48" t="str">
        <f>+'ASISTENCIA 1'!B19</f>
        <v>QUISPE OLMEDO LEONARDO ARIEL</v>
      </c>
      <c r="C18" s="55"/>
      <c r="D18" s="55"/>
      <c r="E18" s="55"/>
      <c r="F18" s="55"/>
    </row>
    <row r="19" spans="1:6" ht="30" customHeight="1" x14ac:dyDescent="0.3">
      <c r="A19" s="45">
        <v>10</v>
      </c>
      <c r="B19" s="48" t="str">
        <f>+'ASISTENCIA 1'!B20</f>
        <v>RAMIREZ FERNANDEZ NANCY</v>
      </c>
      <c r="C19" s="55"/>
      <c r="D19" s="55"/>
      <c r="E19" s="55"/>
      <c r="F19" s="55"/>
    </row>
    <row r="20" spans="1:6" ht="30" customHeight="1" x14ac:dyDescent="0.3">
      <c r="A20" s="45">
        <v>11</v>
      </c>
      <c r="B20" s="48" t="str">
        <f>+'ASISTENCIA 1'!B21</f>
        <v>RAMOS SANCHEZ DELFIN</v>
      </c>
      <c r="C20" s="55"/>
      <c r="D20" s="55"/>
      <c r="E20" s="55"/>
      <c r="F20" s="55"/>
    </row>
    <row r="21" spans="1:6" ht="30" customHeight="1" x14ac:dyDescent="0.3">
      <c r="A21" s="45">
        <v>12</v>
      </c>
      <c r="B21" s="48" t="str">
        <f>+'ASISTENCIA 1'!B22</f>
        <v>RIVERA QUISPE MARY ROSA DEL CARMEN</v>
      </c>
      <c r="C21" s="55"/>
      <c r="D21" s="55"/>
      <c r="E21" s="55"/>
      <c r="F21" s="55"/>
    </row>
    <row r="22" spans="1:6" ht="30" customHeight="1" x14ac:dyDescent="0.3">
      <c r="A22" s="45">
        <v>13</v>
      </c>
      <c r="B22" s="48" t="str">
        <f>+'ASISTENCIA 1'!B23</f>
        <v>RODAS VASQUEZ ARNULFO</v>
      </c>
      <c r="C22" s="55"/>
      <c r="D22" s="55"/>
      <c r="E22" s="55"/>
      <c r="F22" s="55"/>
    </row>
    <row r="23" spans="1:6" ht="30" customHeight="1" x14ac:dyDescent="0.3">
      <c r="A23" s="45">
        <v>14</v>
      </c>
      <c r="B23" s="48" t="str">
        <f>+'ASISTENCIA 1'!B24</f>
        <v>SALVADOR QUISPE DELFIN</v>
      </c>
      <c r="C23" s="55"/>
      <c r="D23" s="55"/>
      <c r="E23" s="55"/>
      <c r="F23" s="55"/>
    </row>
    <row r="24" spans="1:6" ht="30" customHeight="1" x14ac:dyDescent="0.3">
      <c r="A24" s="45">
        <v>15</v>
      </c>
      <c r="B24" s="48" t="str">
        <f>+'ASISTENCIA 1'!B25</f>
        <v>TARDIO CONDORI MARIBEL</v>
      </c>
      <c r="C24" s="55"/>
      <c r="D24" s="55"/>
      <c r="E24" s="55"/>
      <c r="F24" s="55"/>
    </row>
    <row r="25" spans="1:6" ht="30" customHeight="1" x14ac:dyDescent="0.3">
      <c r="A25" s="45">
        <v>16</v>
      </c>
      <c r="B25" s="48" t="str">
        <f>+'ASISTENCIA 1'!B26</f>
        <v>TORRES ORTUÑO PAMELA</v>
      </c>
      <c r="C25" s="55"/>
      <c r="D25" s="55"/>
      <c r="E25" s="55"/>
      <c r="F25" s="55"/>
    </row>
    <row r="26" spans="1:6" ht="30" customHeight="1" x14ac:dyDescent="0.3">
      <c r="A26" s="45">
        <v>17</v>
      </c>
      <c r="B26" s="48" t="str">
        <f>+'ASISTENCIA 1'!B27</f>
        <v>YUCRA CRUZ SATURNINA</v>
      </c>
      <c r="C26" s="55"/>
      <c r="D26" s="55"/>
      <c r="E26" s="55"/>
      <c r="F26" s="55"/>
    </row>
    <row r="27" spans="1:6" x14ac:dyDescent="0.3">
      <c r="A27" s="193" t="s">
        <v>17</v>
      </c>
      <c r="B27" s="194"/>
      <c r="C27" s="189"/>
      <c r="D27" s="190"/>
      <c r="E27" s="190"/>
      <c r="F27" s="191"/>
    </row>
    <row r="28" spans="1:6" ht="30" customHeight="1" x14ac:dyDescent="0.3">
      <c r="A28" s="45">
        <v>1</v>
      </c>
      <c r="B28" s="48" t="str">
        <f>+'ASISTENCIA 1'!B30</f>
        <v>. CASTELLON MARLENE</v>
      </c>
      <c r="C28" s="55"/>
      <c r="D28" s="55"/>
      <c r="E28" s="55"/>
      <c r="F28" s="55"/>
    </row>
    <row r="29" spans="1:6" ht="30" customHeight="1" x14ac:dyDescent="0.3">
      <c r="A29" s="45">
        <v>2</v>
      </c>
      <c r="B29" s="48" t="str">
        <f>+'ASISTENCIA 1'!B31</f>
        <v>. ESPINOZA RUTH PAMELA</v>
      </c>
      <c r="C29" s="55"/>
      <c r="D29" s="55"/>
      <c r="E29" s="55"/>
      <c r="F29" s="55"/>
    </row>
    <row r="30" spans="1:6" ht="30" customHeight="1" x14ac:dyDescent="0.3">
      <c r="A30" s="45">
        <v>3</v>
      </c>
      <c r="B30" s="48" t="str">
        <f>+'ASISTENCIA 1'!B32</f>
        <v>FRIAS VALLEJOS RAMIRO ALEX</v>
      </c>
      <c r="C30" s="55"/>
      <c r="D30" s="55"/>
      <c r="E30" s="55"/>
      <c r="F30" s="55"/>
    </row>
    <row r="31" spans="1:6" ht="30" customHeight="1" x14ac:dyDescent="0.3">
      <c r="A31" s="45">
        <v>4</v>
      </c>
      <c r="B31" s="48" t="str">
        <f>+'ASISTENCIA 1'!B33</f>
        <v>FUERTES ROMERO NICANOR</v>
      </c>
      <c r="C31" s="55"/>
      <c r="D31" s="55"/>
      <c r="E31" s="55"/>
      <c r="F31" s="55"/>
    </row>
    <row r="32" spans="1:6" ht="30" customHeight="1" x14ac:dyDescent="0.3">
      <c r="A32" s="45">
        <v>5</v>
      </c>
      <c r="B32" s="48" t="str">
        <f>+'ASISTENCIA 1'!B34</f>
        <v>LEON PERALTA ELSA NOEMI</v>
      </c>
      <c r="C32" s="55"/>
      <c r="D32" s="55"/>
      <c r="E32" s="55"/>
      <c r="F32" s="55"/>
    </row>
    <row r="33" spans="1:6" ht="30" customHeight="1" x14ac:dyDescent="0.3">
      <c r="A33" s="45">
        <v>6</v>
      </c>
      <c r="B33" s="48" t="str">
        <f>+'ASISTENCIA 1'!B35</f>
        <v xml:space="preserve">MOREIRA MAMANI JHENNY MARIELA </v>
      </c>
      <c r="C33" s="55"/>
      <c r="D33" s="55"/>
      <c r="E33" s="55"/>
      <c r="F33" s="55"/>
    </row>
    <row r="34" spans="1:6" ht="30" customHeight="1" x14ac:dyDescent="0.3">
      <c r="A34" s="45">
        <v>7</v>
      </c>
      <c r="B34" s="48" t="str">
        <f>+'ASISTENCIA 1'!B36</f>
        <v>PEREZ GUERRA CARLOS MANUEL</v>
      </c>
      <c r="C34" s="55"/>
      <c r="D34" s="55"/>
      <c r="E34" s="55"/>
      <c r="F34" s="55"/>
    </row>
    <row r="35" spans="1:6" ht="30" customHeight="1" x14ac:dyDescent="0.3">
      <c r="A35" s="45">
        <v>8</v>
      </c>
      <c r="B35" s="48" t="str">
        <f>+'ASISTENCIA 1'!B37</f>
        <v xml:space="preserve">SENO ALDANA TEOFILO JORGE </v>
      </c>
      <c r="C35" s="55"/>
      <c r="D35" s="55"/>
      <c r="E35" s="55"/>
      <c r="F35" s="55"/>
    </row>
    <row r="36" spans="1:6" ht="30" customHeight="1" x14ac:dyDescent="0.3">
      <c r="A36" s="45">
        <v>9</v>
      </c>
      <c r="B36" s="48" t="str">
        <f>+'ASISTENCIA 1'!B38</f>
        <v>QUISPE LEVA TEODORO</v>
      </c>
      <c r="C36" s="55"/>
      <c r="D36" s="55"/>
      <c r="E36" s="55"/>
      <c r="F36" s="55"/>
    </row>
    <row r="37" spans="1:6" ht="30" customHeight="1" x14ac:dyDescent="0.3">
      <c r="A37" s="45">
        <v>10</v>
      </c>
      <c r="B37" s="48" t="str">
        <f>+'ASISTENCIA 1'!B39</f>
        <v>VILLARPANDO MAMANI ALISON</v>
      </c>
      <c r="C37" s="55"/>
      <c r="D37" s="55"/>
      <c r="E37" s="55"/>
      <c r="F37" s="55"/>
    </row>
    <row r="38" spans="1:6" x14ac:dyDescent="0.3">
      <c r="A38" s="187" t="s">
        <v>20</v>
      </c>
      <c r="B38" s="188"/>
      <c r="C38" s="189"/>
      <c r="D38" s="190"/>
      <c r="E38" s="190"/>
      <c r="F38" s="191"/>
    </row>
    <row r="39" spans="1:6" ht="30" customHeight="1" x14ac:dyDescent="0.3">
      <c r="A39" s="53">
        <v>1</v>
      </c>
      <c r="B39" s="48" t="str">
        <f>+'ASISTENCIA 1'!B41</f>
        <v>CALDERON CASTELLON FERNANDO</v>
      </c>
      <c r="C39" s="55"/>
      <c r="D39" s="55"/>
      <c r="E39" s="55"/>
      <c r="F39" s="55"/>
    </row>
    <row r="40" spans="1:6" ht="30" customHeight="1" x14ac:dyDescent="0.3">
      <c r="A40" s="53">
        <v>2</v>
      </c>
      <c r="B40" s="48" t="str">
        <f>+'ASISTENCIA 1'!B42</f>
        <v>FERNANDEZ VELA JUAN</v>
      </c>
      <c r="C40" s="55"/>
      <c r="D40" s="55"/>
      <c r="E40" s="55"/>
      <c r="F40" s="55"/>
    </row>
    <row r="41" spans="1:6" ht="30" customHeight="1" x14ac:dyDescent="0.3">
      <c r="A41" s="53">
        <v>3</v>
      </c>
      <c r="B41" s="48" t="str">
        <f>+'ASISTENCIA 1'!B43</f>
        <v>FLORES CARRILLO SEVERINA</v>
      </c>
      <c r="C41" s="55"/>
      <c r="D41" s="55"/>
      <c r="E41" s="55"/>
      <c r="F41" s="55"/>
    </row>
    <row r="42" spans="1:6" ht="30" customHeight="1" x14ac:dyDescent="0.3">
      <c r="A42" s="53">
        <v>4</v>
      </c>
      <c r="B42" s="48" t="str">
        <f>+'ASISTENCIA 1'!B44</f>
        <v>HUARACHI CHUMACERO RODOLFO</v>
      </c>
      <c r="C42" s="55"/>
      <c r="D42" s="55"/>
      <c r="E42" s="55"/>
      <c r="F42" s="55"/>
    </row>
    <row r="43" spans="1:6" ht="30" customHeight="1" x14ac:dyDescent="0.3">
      <c r="A43" s="53">
        <v>5</v>
      </c>
      <c r="B43" s="48" t="str">
        <f>+'ASISTENCIA 1'!B45</f>
        <v>MARTINEZ ORTIZ EUGENIA</v>
      </c>
      <c r="C43" s="55"/>
      <c r="D43" s="55"/>
      <c r="E43" s="55"/>
      <c r="F43" s="55"/>
    </row>
    <row r="44" spans="1:6" ht="30" customHeight="1" x14ac:dyDescent="0.3">
      <c r="A44" s="53">
        <v>6</v>
      </c>
      <c r="B44" s="48" t="str">
        <f>+'ASISTENCIA 1'!B46</f>
        <v xml:space="preserve">MENDOZA FERNANDEZ ALBERTO </v>
      </c>
      <c r="C44" s="55"/>
      <c r="D44" s="55"/>
      <c r="E44" s="55"/>
      <c r="F44" s="55"/>
    </row>
    <row r="45" spans="1:6" ht="30" customHeight="1" x14ac:dyDescent="0.3">
      <c r="A45" s="53">
        <v>7</v>
      </c>
      <c r="B45" s="48" t="str">
        <f>+'ASISTENCIA 1'!B47</f>
        <v>PANTOJA ARANCIBIA JUSTINO</v>
      </c>
      <c r="C45" s="55"/>
      <c r="D45" s="55"/>
      <c r="E45" s="55"/>
      <c r="F45" s="55"/>
    </row>
    <row r="46" spans="1:6" x14ac:dyDescent="0.3">
      <c r="A46" s="187" t="s">
        <v>187</v>
      </c>
      <c r="B46" s="188"/>
      <c r="C46" s="189"/>
      <c r="D46" s="190"/>
      <c r="E46" s="190"/>
      <c r="F46" s="191"/>
    </row>
    <row r="47" spans="1:6" ht="27.95" customHeight="1" x14ac:dyDescent="0.3">
      <c r="A47" s="53">
        <v>1</v>
      </c>
      <c r="B47" s="48"/>
      <c r="C47" s="55"/>
      <c r="D47" s="55"/>
      <c r="E47" s="55"/>
      <c r="F47" s="55"/>
    </row>
    <row r="48" spans="1:6" ht="27.95" customHeight="1" x14ac:dyDescent="0.3">
      <c r="A48" s="53">
        <v>2</v>
      </c>
      <c r="B48" s="48"/>
      <c r="C48" s="55"/>
      <c r="D48" s="55"/>
      <c r="E48" s="55"/>
      <c r="F48" s="55"/>
    </row>
    <row r="49" spans="1:6" ht="27.95" customHeight="1" x14ac:dyDescent="0.3">
      <c r="A49" s="53">
        <v>3</v>
      </c>
      <c r="B49" s="48"/>
      <c r="C49" s="55"/>
      <c r="D49" s="55"/>
      <c r="E49" s="55"/>
      <c r="F49" s="55"/>
    </row>
    <row r="50" spans="1:6" ht="27.95" customHeight="1" x14ac:dyDescent="0.3">
      <c r="A50" s="53">
        <v>4</v>
      </c>
      <c r="B50" s="48"/>
      <c r="C50" s="55"/>
      <c r="D50" s="55"/>
      <c r="E50" s="55"/>
      <c r="F50" s="55"/>
    </row>
    <row r="51" spans="1:6" ht="27.95" customHeight="1" x14ac:dyDescent="0.3">
      <c r="A51" s="53">
        <v>5</v>
      </c>
      <c r="B51" s="48"/>
      <c r="C51" s="55"/>
      <c r="D51" s="55"/>
      <c r="E51" s="55"/>
      <c r="F51" s="55"/>
    </row>
    <row r="52" spans="1:6" ht="27.95" customHeight="1" x14ac:dyDescent="0.3">
      <c r="A52" s="53">
        <v>6</v>
      </c>
      <c r="B52" s="48"/>
      <c r="C52" s="55"/>
      <c r="D52" s="55"/>
      <c r="E52" s="55"/>
      <c r="F52" s="55"/>
    </row>
    <row r="53" spans="1:6" ht="27.95" customHeight="1" x14ac:dyDescent="0.3">
      <c r="A53" s="53">
        <v>7</v>
      </c>
      <c r="B53" s="48"/>
      <c r="C53" s="55"/>
      <c r="D53" s="55"/>
      <c r="E53" s="55"/>
      <c r="F53" s="55"/>
    </row>
    <row r="54" spans="1:6" ht="27.95" customHeight="1" x14ac:dyDescent="0.3">
      <c r="A54" s="53">
        <v>8</v>
      </c>
      <c r="B54" s="48"/>
      <c r="C54" s="55"/>
      <c r="D54" s="55"/>
      <c r="E54" s="55"/>
      <c r="F54" s="55"/>
    </row>
    <row r="55" spans="1:6" ht="27.95" customHeight="1" x14ac:dyDescent="0.3">
      <c r="A55" s="53">
        <v>9</v>
      </c>
      <c r="B55" s="48"/>
      <c r="C55" s="55"/>
      <c r="D55" s="55"/>
      <c r="E55" s="55"/>
      <c r="F55" s="55"/>
    </row>
    <row r="56" spans="1:6" ht="27.95" customHeight="1" x14ac:dyDescent="0.3">
      <c r="A56" s="53">
        <v>10</v>
      </c>
      <c r="B56" s="48"/>
      <c r="C56" s="55"/>
      <c r="D56" s="55"/>
      <c r="E56" s="55"/>
      <c r="F56" s="55"/>
    </row>
    <row r="57" spans="1:6" ht="27.95" customHeight="1" x14ac:dyDescent="0.3">
      <c r="A57" s="53">
        <v>11</v>
      </c>
      <c r="B57" s="48"/>
      <c r="C57" s="55"/>
      <c r="D57" s="55"/>
      <c r="E57" s="55"/>
      <c r="F57" s="55"/>
    </row>
    <row r="58" spans="1:6" ht="27.95" customHeight="1" x14ac:dyDescent="0.3">
      <c r="A58" s="53">
        <v>12</v>
      </c>
      <c r="B58" s="48"/>
      <c r="C58" s="55"/>
      <c r="D58" s="55"/>
      <c r="E58" s="55"/>
      <c r="F58" s="55"/>
    </row>
    <row r="59" spans="1:6" ht="27.95" customHeight="1" x14ac:dyDescent="0.3">
      <c r="A59" s="53">
        <v>13</v>
      </c>
      <c r="B59" s="48"/>
      <c r="C59" s="55"/>
      <c r="D59" s="55"/>
      <c r="E59" s="55"/>
      <c r="F59" s="55"/>
    </row>
    <row r="60" spans="1:6" ht="27.95" customHeight="1" x14ac:dyDescent="0.3">
      <c r="A60" s="53">
        <v>14</v>
      </c>
      <c r="B60" s="48"/>
      <c r="C60" s="55"/>
      <c r="D60" s="55"/>
      <c r="E60" s="55"/>
      <c r="F60" s="55"/>
    </row>
    <row r="61" spans="1:6" ht="27.95" customHeight="1" x14ac:dyDescent="0.3">
      <c r="A61" s="53">
        <v>15</v>
      </c>
      <c r="B61" s="48"/>
      <c r="C61" s="55"/>
      <c r="D61" s="55"/>
      <c r="E61" s="55"/>
      <c r="F61" s="55"/>
    </row>
    <row r="62" spans="1:6" ht="27.95" customHeight="1" x14ac:dyDescent="0.3">
      <c r="A62" s="53">
        <v>16</v>
      </c>
      <c r="B62" s="48"/>
      <c r="C62" s="55"/>
      <c r="D62" s="55"/>
      <c r="E62" s="55"/>
      <c r="F62" s="55"/>
    </row>
    <row r="63" spans="1:6" ht="27.95" customHeight="1" x14ac:dyDescent="0.3">
      <c r="A63" s="53">
        <v>17</v>
      </c>
      <c r="B63" s="48"/>
      <c r="C63" s="55"/>
      <c r="D63" s="55"/>
      <c r="E63" s="55"/>
      <c r="F63" s="55"/>
    </row>
    <row r="64" spans="1:6" ht="27.95" customHeight="1" x14ac:dyDescent="0.3">
      <c r="A64" s="53">
        <v>18</v>
      </c>
      <c r="B64" s="48"/>
      <c r="C64" s="55"/>
      <c r="D64" s="55"/>
      <c r="E64" s="55"/>
      <c r="F64" s="55"/>
    </row>
    <row r="65" spans="1:6" ht="27.95" customHeight="1" x14ac:dyDescent="0.3">
      <c r="A65" s="53">
        <v>19</v>
      </c>
      <c r="B65" s="48"/>
      <c r="C65" s="55"/>
      <c r="D65" s="55"/>
      <c r="E65" s="55"/>
      <c r="F65" s="55"/>
    </row>
    <row r="66" spans="1:6" ht="27.95" customHeight="1" x14ac:dyDescent="0.3">
      <c r="A66" s="53">
        <v>20</v>
      </c>
      <c r="B66" s="48"/>
      <c r="C66" s="55"/>
      <c r="D66" s="55"/>
      <c r="E66" s="55"/>
      <c r="F66" s="55"/>
    </row>
    <row r="67" spans="1:6" ht="27.95" customHeight="1" x14ac:dyDescent="0.3">
      <c r="A67" s="53">
        <v>21</v>
      </c>
      <c r="B67" s="48"/>
      <c r="C67" s="55"/>
      <c r="D67" s="55"/>
      <c r="E67" s="55"/>
      <c r="F67" s="55"/>
    </row>
    <row r="68" spans="1:6" ht="27.95" customHeight="1" x14ac:dyDescent="0.3">
      <c r="A68" s="53">
        <v>22</v>
      </c>
      <c r="B68" s="48"/>
      <c r="C68" s="55"/>
      <c r="D68" s="55"/>
      <c r="E68" s="55"/>
      <c r="F68" s="55"/>
    </row>
    <row r="69" spans="1:6" ht="27.95" customHeight="1" x14ac:dyDescent="0.3">
      <c r="A69" s="53">
        <v>23</v>
      </c>
      <c r="B69" s="48"/>
      <c r="C69" s="55"/>
      <c r="D69" s="55"/>
      <c r="E69" s="55"/>
      <c r="F69" s="55"/>
    </row>
    <row r="75" spans="1:6" ht="24.95" customHeight="1" x14ac:dyDescent="0.3"/>
    <row r="76" spans="1:6" ht="24.95" customHeight="1" x14ac:dyDescent="0.3"/>
    <row r="77" spans="1:6" ht="24.95" customHeight="1" x14ac:dyDescent="0.3"/>
    <row r="78" spans="1:6" ht="24.95" customHeight="1" x14ac:dyDescent="0.3"/>
    <row r="79" spans="1:6" ht="24.95" customHeight="1" x14ac:dyDescent="0.3"/>
    <row r="80" spans="1:6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</sheetData>
  <mergeCells count="10">
    <mergeCell ref="A46:B46"/>
    <mergeCell ref="C46:F46"/>
    <mergeCell ref="A38:B38"/>
    <mergeCell ref="A1:F1"/>
    <mergeCell ref="C9:F9"/>
    <mergeCell ref="C27:F27"/>
    <mergeCell ref="C38:F38"/>
    <mergeCell ref="A27:B27"/>
    <mergeCell ref="A9:B9"/>
    <mergeCell ref="A2:F2"/>
  </mergeCells>
  <pageMargins left="0.98425196850393704" right="0.39370078740157483" top="1.6535433070866143" bottom="0.94" header="0.31496062992125984" footer="0.19685039370078741"/>
  <pageSetup scale="85" fitToHeight="0" orientation="portrait" horizontalDpi="0" verticalDpi="0" r:id="rId1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I21" sqref="I21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3"/>
  <sheetViews>
    <sheetView topLeftCell="A27" zoomScale="115" zoomScaleNormal="115" workbookViewId="0">
      <selection activeCell="A2" sqref="A2:G42"/>
    </sheetView>
  </sheetViews>
  <sheetFormatPr baseColWidth="10" defaultRowHeight="15" x14ac:dyDescent="0.25"/>
  <cols>
    <col min="1" max="1" width="3.85546875" bestFit="1" customWidth="1"/>
    <col min="2" max="2" width="49.140625" bestFit="1" customWidth="1"/>
    <col min="3" max="3" width="21.85546875" style="59" bestFit="1" customWidth="1"/>
    <col min="4" max="4" width="15.140625" style="13" bestFit="1" customWidth="1"/>
    <col min="5" max="7" width="2.28515625" style="13" hidden="1" customWidth="1"/>
  </cols>
  <sheetData>
    <row r="1" spans="1:7" ht="22.5" x14ac:dyDescent="0.25">
      <c r="A1" s="201"/>
      <c r="B1" s="201"/>
      <c r="C1" s="201"/>
    </row>
    <row r="2" spans="1:7" ht="32.25" customHeight="1" x14ac:dyDescent="0.25">
      <c r="A2" s="198" t="s">
        <v>177</v>
      </c>
      <c r="B2" s="199"/>
      <c r="C2" s="199"/>
      <c r="D2" s="199"/>
      <c r="E2" s="199"/>
      <c r="F2" s="199"/>
      <c r="G2" s="200"/>
    </row>
    <row r="3" spans="1:7" x14ac:dyDescent="0.25">
      <c r="A3" s="126" t="s">
        <v>2</v>
      </c>
      <c r="B3" s="126" t="s">
        <v>3</v>
      </c>
      <c r="C3" s="126" t="s">
        <v>179</v>
      </c>
      <c r="D3" s="126" t="s">
        <v>176</v>
      </c>
    </row>
    <row r="4" spans="1:7" ht="17.25" x14ac:dyDescent="0.3">
      <c r="A4" s="95">
        <v>1</v>
      </c>
      <c r="B4" s="96" t="s">
        <v>31</v>
      </c>
      <c r="C4" s="114" t="s">
        <v>178</v>
      </c>
      <c r="D4" s="114" t="s">
        <v>173</v>
      </c>
      <c r="F4" s="13">
        <v>1</v>
      </c>
    </row>
    <row r="5" spans="1:7" ht="17.25" x14ac:dyDescent="0.3">
      <c r="A5" s="95">
        <v>2</v>
      </c>
      <c r="B5" s="96" t="s">
        <v>15</v>
      </c>
      <c r="C5" s="114" t="s">
        <v>178</v>
      </c>
      <c r="D5" s="114" t="s">
        <v>173</v>
      </c>
      <c r="F5" s="13">
        <v>1</v>
      </c>
    </row>
    <row r="6" spans="1:7" ht="17.25" x14ac:dyDescent="0.3">
      <c r="A6" s="95">
        <v>3</v>
      </c>
      <c r="B6" s="96" t="s">
        <v>38</v>
      </c>
      <c r="C6" s="114" t="s">
        <v>178</v>
      </c>
      <c r="D6" s="114" t="s">
        <v>173</v>
      </c>
      <c r="F6" s="13">
        <v>1</v>
      </c>
    </row>
    <row r="7" spans="1:7" ht="17.25" x14ac:dyDescent="0.3">
      <c r="A7" s="95">
        <v>4</v>
      </c>
      <c r="B7" s="97" t="s">
        <v>8</v>
      </c>
      <c r="C7" s="114"/>
      <c r="D7" s="114" t="s">
        <v>173</v>
      </c>
      <c r="F7" s="13">
        <v>1</v>
      </c>
    </row>
    <row r="8" spans="1:7" ht="17.25" x14ac:dyDescent="0.3">
      <c r="A8" s="95">
        <v>5</v>
      </c>
      <c r="B8" s="96" t="s">
        <v>40</v>
      </c>
      <c r="C8" s="114"/>
      <c r="D8" s="114" t="s">
        <v>173</v>
      </c>
      <c r="F8" s="13">
        <v>1</v>
      </c>
    </row>
    <row r="9" spans="1:7" ht="17.25" x14ac:dyDescent="0.3">
      <c r="A9" s="95">
        <v>6</v>
      </c>
      <c r="B9" s="97" t="s">
        <v>30</v>
      </c>
      <c r="C9" s="114"/>
      <c r="D9" s="114" t="s">
        <v>173</v>
      </c>
      <c r="F9" s="13">
        <v>1</v>
      </c>
    </row>
    <row r="10" spans="1:7" ht="17.25" x14ac:dyDescent="0.3">
      <c r="A10" s="95">
        <v>7</v>
      </c>
      <c r="B10" s="96" t="s">
        <v>153</v>
      </c>
      <c r="C10" s="114"/>
      <c r="D10" s="114" t="s">
        <v>173</v>
      </c>
      <c r="F10" s="13">
        <v>1</v>
      </c>
    </row>
    <row r="11" spans="1:7" ht="17.25" x14ac:dyDescent="0.3">
      <c r="A11" s="95">
        <v>8</v>
      </c>
      <c r="B11" s="96" t="s">
        <v>25</v>
      </c>
      <c r="C11" s="114"/>
      <c r="D11" s="114" t="s">
        <v>173</v>
      </c>
      <c r="F11" s="13">
        <v>1</v>
      </c>
    </row>
    <row r="12" spans="1:7" ht="17.25" x14ac:dyDescent="0.3">
      <c r="A12" s="95">
        <v>9</v>
      </c>
      <c r="B12" s="96" t="s">
        <v>23</v>
      </c>
      <c r="C12" s="114"/>
      <c r="D12" s="114" t="s">
        <v>173</v>
      </c>
      <c r="F12" s="13">
        <v>1</v>
      </c>
    </row>
    <row r="13" spans="1:7" ht="17.25" x14ac:dyDescent="0.3">
      <c r="A13" s="95">
        <v>10</v>
      </c>
      <c r="B13" s="96" t="s">
        <v>154</v>
      </c>
      <c r="C13" s="114"/>
      <c r="D13" s="114" t="s">
        <v>173</v>
      </c>
      <c r="F13" s="13">
        <v>1</v>
      </c>
    </row>
    <row r="14" spans="1:7" ht="17.25" x14ac:dyDescent="0.3">
      <c r="A14" s="95">
        <v>11</v>
      </c>
      <c r="B14" s="96" t="s">
        <v>102</v>
      </c>
      <c r="C14" s="114"/>
      <c r="D14" s="114" t="s">
        <v>173</v>
      </c>
      <c r="F14" s="13">
        <v>1</v>
      </c>
    </row>
    <row r="15" spans="1:7" ht="17.25" x14ac:dyDescent="0.3">
      <c r="A15" s="95">
        <v>12</v>
      </c>
      <c r="B15" s="96" t="s">
        <v>101</v>
      </c>
      <c r="C15" s="114"/>
      <c r="D15" s="114" t="s">
        <v>173</v>
      </c>
      <c r="F15" s="13">
        <v>1</v>
      </c>
    </row>
    <row r="16" spans="1:7" ht="18" thickBot="1" x14ac:dyDescent="0.35">
      <c r="A16" s="107">
        <v>13</v>
      </c>
      <c r="B16" s="108" t="s">
        <v>99</v>
      </c>
      <c r="C16" s="115"/>
      <c r="D16" s="115" t="s">
        <v>173</v>
      </c>
      <c r="F16" s="13">
        <v>1</v>
      </c>
    </row>
    <row r="17" spans="1:7" ht="18" thickTop="1" x14ac:dyDescent="0.3">
      <c r="A17" s="109">
        <v>1</v>
      </c>
      <c r="B17" s="110" t="s">
        <v>14</v>
      </c>
      <c r="C17" s="116" t="s">
        <v>178</v>
      </c>
      <c r="D17" s="117" t="s">
        <v>175</v>
      </c>
      <c r="E17" s="13">
        <v>1</v>
      </c>
    </row>
    <row r="18" spans="1:7" ht="17.25" x14ac:dyDescent="0.3">
      <c r="A18" s="111">
        <v>2</v>
      </c>
      <c r="B18" s="100" t="s">
        <v>32</v>
      </c>
      <c r="C18" s="118" t="s">
        <v>178</v>
      </c>
      <c r="D18" s="119" t="s">
        <v>175</v>
      </c>
      <c r="E18" s="13">
        <v>1</v>
      </c>
    </row>
    <row r="19" spans="1:7" ht="17.25" x14ac:dyDescent="0.3">
      <c r="A19" s="111">
        <v>3</v>
      </c>
      <c r="B19" s="100" t="s">
        <v>41</v>
      </c>
      <c r="C19" s="118" t="s">
        <v>178</v>
      </c>
      <c r="D19" s="119" t="s">
        <v>175</v>
      </c>
      <c r="E19" s="13">
        <v>1</v>
      </c>
    </row>
    <row r="20" spans="1:7" ht="17.25" x14ac:dyDescent="0.3">
      <c r="A20" s="111">
        <v>4</v>
      </c>
      <c r="B20" s="100" t="s">
        <v>49</v>
      </c>
      <c r="C20" s="118" t="s">
        <v>178</v>
      </c>
      <c r="D20" s="119" t="s">
        <v>175</v>
      </c>
      <c r="E20" s="13">
        <v>1</v>
      </c>
    </row>
    <row r="21" spans="1:7" ht="17.25" x14ac:dyDescent="0.3">
      <c r="A21" s="111">
        <v>5</v>
      </c>
      <c r="B21" s="100" t="s">
        <v>27</v>
      </c>
      <c r="C21" s="118"/>
      <c r="D21" s="119" t="s">
        <v>175</v>
      </c>
      <c r="E21" s="13">
        <v>1</v>
      </c>
    </row>
    <row r="22" spans="1:7" ht="17.25" x14ac:dyDescent="0.3">
      <c r="A22" s="111">
        <v>6</v>
      </c>
      <c r="B22" s="100" t="s">
        <v>21</v>
      </c>
      <c r="C22" s="118"/>
      <c r="D22" s="119" t="s">
        <v>175</v>
      </c>
      <c r="E22" s="13">
        <v>1</v>
      </c>
    </row>
    <row r="23" spans="1:7" ht="17.25" x14ac:dyDescent="0.3">
      <c r="A23" s="111">
        <v>7</v>
      </c>
      <c r="B23" s="101" t="s">
        <v>35</v>
      </c>
      <c r="C23" s="118"/>
      <c r="D23" s="119" t="s">
        <v>175</v>
      </c>
      <c r="E23" s="13">
        <v>1</v>
      </c>
    </row>
    <row r="24" spans="1:7" ht="17.25" x14ac:dyDescent="0.3">
      <c r="A24" s="111">
        <v>8</v>
      </c>
      <c r="B24" s="100" t="s">
        <v>70</v>
      </c>
      <c r="C24" s="118"/>
      <c r="D24" s="119" t="s">
        <v>175</v>
      </c>
      <c r="E24" s="13">
        <v>1</v>
      </c>
    </row>
    <row r="25" spans="1:7" ht="17.25" x14ac:dyDescent="0.3">
      <c r="A25" s="111">
        <v>9</v>
      </c>
      <c r="B25" s="100" t="s">
        <v>78</v>
      </c>
      <c r="C25" s="118"/>
      <c r="D25" s="119" t="s">
        <v>175</v>
      </c>
      <c r="E25" s="13">
        <v>1</v>
      </c>
    </row>
    <row r="26" spans="1:7" ht="17.25" x14ac:dyDescent="0.3">
      <c r="A26" s="111">
        <v>10</v>
      </c>
      <c r="B26" s="100" t="s">
        <v>28</v>
      </c>
      <c r="C26" s="118"/>
      <c r="D26" s="119" t="s">
        <v>175</v>
      </c>
      <c r="E26" s="13">
        <v>1</v>
      </c>
    </row>
    <row r="27" spans="1:7" ht="17.25" x14ac:dyDescent="0.3">
      <c r="A27" s="111">
        <v>11</v>
      </c>
      <c r="B27" s="100" t="s">
        <v>172</v>
      </c>
      <c r="C27" s="118"/>
      <c r="D27" s="119" t="s">
        <v>175</v>
      </c>
      <c r="E27" s="13">
        <v>1</v>
      </c>
    </row>
    <row r="28" spans="1:7" ht="17.25" x14ac:dyDescent="0.3">
      <c r="A28" s="111">
        <v>12</v>
      </c>
      <c r="B28" s="101" t="s">
        <v>9</v>
      </c>
      <c r="C28" s="118"/>
      <c r="D28" s="119" t="s">
        <v>175</v>
      </c>
      <c r="E28" s="13">
        <v>1</v>
      </c>
    </row>
    <row r="29" spans="1:7" ht="18" thickBot="1" x14ac:dyDescent="0.35">
      <c r="A29" s="112">
        <v>13</v>
      </c>
      <c r="B29" s="113" t="s">
        <v>29</v>
      </c>
      <c r="C29" s="120"/>
      <c r="D29" s="121" t="s">
        <v>175</v>
      </c>
      <c r="E29" s="13">
        <v>1</v>
      </c>
    </row>
    <row r="30" spans="1:7" ht="18" thickTop="1" x14ac:dyDescent="0.3">
      <c r="A30" s="102">
        <v>1</v>
      </c>
      <c r="B30" s="103" t="s">
        <v>122</v>
      </c>
      <c r="C30" s="122" t="s">
        <v>178</v>
      </c>
      <c r="D30" s="122" t="s">
        <v>174</v>
      </c>
      <c r="G30" s="13">
        <v>1</v>
      </c>
    </row>
    <row r="31" spans="1:7" ht="17.25" x14ac:dyDescent="0.3">
      <c r="A31" s="104">
        <v>2</v>
      </c>
      <c r="B31" s="98" t="s">
        <v>12</v>
      </c>
      <c r="C31" s="123" t="s">
        <v>178</v>
      </c>
      <c r="D31" s="123" t="s">
        <v>174</v>
      </c>
      <c r="G31" s="13">
        <v>1</v>
      </c>
    </row>
    <row r="32" spans="1:7" ht="17.25" x14ac:dyDescent="0.3">
      <c r="A32" s="104">
        <v>3</v>
      </c>
      <c r="B32" s="98" t="s">
        <v>33</v>
      </c>
      <c r="C32" s="123"/>
      <c r="D32" s="123" t="s">
        <v>174</v>
      </c>
      <c r="G32" s="13">
        <v>1</v>
      </c>
    </row>
    <row r="33" spans="1:7" ht="17.25" x14ac:dyDescent="0.3">
      <c r="A33" s="104">
        <v>4</v>
      </c>
      <c r="B33" s="98" t="s">
        <v>26</v>
      </c>
      <c r="C33" s="123"/>
      <c r="D33" s="123" t="s">
        <v>174</v>
      </c>
      <c r="G33" s="13">
        <v>1</v>
      </c>
    </row>
    <row r="34" spans="1:7" ht="17.25" x14ac:dyDescent="0.3">
      <c r="A34" s="104">
        <v>5</v>
      </c>
      <c r="B34" s="99" t="s">
        <v>36</v>
      </c>
      <c r="C34" s="123"/>
      <c r="D34" s="123" t="s">
        <v>174</v>
      </c>
      <c r="G34" s="13">
        <v>1</v>
      </c>
    </row>
    <row r="35" spans="1:7" ht="17.25" x14ac:dyDescent="0.3">
      <c r="A35" s="104">
        <v>6</v>
      </c>
      <c r="B35" s="98" t="s">
        <v>100</v>
      </c>
      <c r="C35" s="123"/>
      <c r="D35" s="123" t="s">
        <v>174</v>
      </c>
      <c r="G35" s="13">
        <v>1</v>
      </c>
    </row>
    <row r="36" spans="1:7" ht="17.25" x14ac:dyDescent="0.3">
      <c r="A36" s="104">
        <v>7</v>
      </c>
      <c r="B36" s="98" t="s">
        <v>68</v>
      </c>
      <c r="C36" s="123"/>
      <c r="D36" s="123" t="s">
        <v>174</v>
      </c>
      <c r="G36" s="13">
        <v>1</v>
      </c>
    </row>
    <row r="37" spans="1:7" ht="17.25" x14ac:dyDescent="0.3">
      <c r="A37" s="104">
        <v>8</v>
      </c>
      <c r="B37" s="98" t="s">
        <v>22</v>
      </c>
      <c r="C37" s="123"/>
      <c r="D37" s="123" t="s">
        <v>174</v>
      </c>
      <c r="G37" s="13">
        <v>1</v>
      </c>
    </row>
    <row r="38" spans="1:7" ht="17.25" x14ac:dyDescent="0.3">
      <c r="A38" s="104">
        <v>9</v>
      </c>
      <c r="B38" s="98" t="s">
        <v>19</v>
      </c>
      <c r="C38" s="123"/>
      <c r="D38" s="123" t="s">
        <v>174</v>
      </c>
      <c r="G38" s="13">
        <v>1</v>
      </c>
    </row>
    <row r="39" spans="1:7" ht="17.25" x14ac:dyDescent="0.3">
      <c r="A39" s="104">
        <v>10</v>
      </c>
      <c r="B39" s="98" t="s">
        <v>24</v>
      </c>
      <c r="C39" s="123"/>
      <c r="D39" s="123" t="s">
        <v>174</v>
      </c>
      <c r="G39" s="13">
        <v>1</v>
      </c>
    </row>
    <row r="40" spans="1:7" ht="17.25" x14ac:dyDescent="0.3">
      <c r="A40" s="104">
        <v>11</v>
      </c>
      <c r="B40" s="98" t="s">
        <v>18</v>
      </c>
      <c r="C40" s="123"/>
      <c r="D40" s="123" t="s">
        <v>174</v>
      </c>
      <c r="G40" s="13">
        <v>1</v>
      </c>
    </row>
    <row r="41" spans="1:7" ht="17.25" x14ac:dyDescent="0.3">
      <c r="A41" s="104">
        <v>12</v>
      </c>
      <c r="B41" s="98" t="s">
        <v>67</v>
      </c>
      <c r="C41" s="123"/>
      <c r="D41" s="123" t="s">
        <v>174</v>
      </c>
      <c r="G41" s="13">
        <v>1</v>
      </c>
    </row>
    <row r="42" spans="1:7" ht="18" thickBot="1" x14ac:dyDescent="0.35">
      <c r="A42" s="105">
        <v>13</v>
      </c>
      <c r="B42" s="106" t="s">
        <v>39</v>
      </c>
      <c r="C42" s="124"/>
      <c r="D42" s="125" t="s">
        <v>174</v>
      </c>
      <c r="G42" s="13">
        <v>1</v>
      </c>
    </row>
    <row r="43" spans="1:7" ht="15.75" thickTop="1" x14ac:dyDescent="0.25"/>
  </sheetData>
  <autoFilter ref="A3:G3" xr:uid="{00000000-0009-0000-0000-000007000000}">
    <sortState xmlns:xlrd2="http://schemas.microsoft.com/office/spreadsheetml/2017/richdata2" ref="A4:G42">
      <sortCondition ref="D3"/>
    </sortState>
  </autoFilter>
  <mergeCells count="2">
    <mergeCell ref="A2:G2"/>
    <mergeCell ref="A1:C1"/>
  </mergeCells>
  <pageMargins left="0.7" right="0.7" top="0.28000000000000003" bottom="0.3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36"/>
  <sheetViews>
    <sheetView zoomScaleNormal="100" workbookViewId="0">
      <selection activeCell="C3" sqref="C3"/>
    </sheetView>
  </sheetViews>
  <sheetFormatPr baseColWidth="10" defaultRowHeight="15" x14ac:dyDescent="0.25"/>
  <cols>
    <col min="1" max="1" width="7.28515625" customWidth="1"/>
    <col min="2" max="2" width="49.140625" bestFit="1" customWidth="1"/>
    <col min="3" max="3" width="15.140625" bestFit="1" customWidth="1"/>
    <col min="4" max="4" width="23.28515625" customWidth="1"/>
    <col min="5" max="5" width="13.7109375" bestFit="1" customWidth="1"/>
  </cols>
  <sheetData>
    <row r="1" spans="1:5" ht="22.5" x14ac:dyDescent="0.25">
      <c r="A1" s="202" t="s">
        <v>94</v>
      </c>
      <c r="B1" s="202"/>
      <c r="C1" s="202"/>
      <c r="D1" s="202"/>
      <c r="E1" s="202"/>
    </row>
    <row r="2" spans="1:5" ht="43.5" customHeight="1" x14ac:dyDescent="0.25">
      <c r="A2" s="203" t="s">
        <v>128</v>
      </c>
      <c r="B2" s="204"/>
      <c r="C2" s="204"/>
      <c r="D2" s="204"/>
      <c r="E2" s="204"/>
    </row>
    <row r="3" spans="1:5" ht="30" x14ac:dyDescent="0.25">
      <c r="A3" s="43" t="s">
        <v>2</v>
      </c>
      <c r="B3" s="43" t="s">
        <v>3</v>
      </c>
      <c r="C3" s="44" t="s">
        <v>106</v>
      </c>
      <c r="D3" s="43" t="s">
        <v>86</v>
      </c>
      <c r="E3" s="44" t="s">
        <v>105</v>
      </c>
    </row>
    <row r="4" spans="1:5" ht="24.95" customHeight="1" x14ac:dyDescent="0.25">
      <c r="A4" s="45">
        <v>1</v>
      </c>
      <c r="B4" s="46"/>
      <c r="C4" s="46"/>
      <c r="D4" s="46"/>
      <c r="E4" s="47"/>
    </row>
    <row r="5" spans="1:5" ht="24.95" customHeight="1" x14ac:dyDescent="0.25">
      <c r="A5" s="45">
        <v>2</v>
      </c>
      <c r="B5" s="48"/>
      <c r="C5" s="48"/>
      <c r="D5" s="48"/>
      <c r="E5" s="49"/>
    </row>
    <row r="6" spans="1:5" ht="24.95" customHeight="1" x14ac:dyDescent="0.25">
      <c r="A6" s="45">
        <v>3</v>
      </c>
      <c r="B6" s="48"/>
      <c r="C6" s="48"/>
      <c r="D6" s="48"/>
      <c r="E6" s="49"/>
    </row>
    <row r="7" spans="1:5" ht="24.95" customHeight="1" x14ac:dyDescent="0.25">
      <c r="A7" s="45">
        <v>4</v>
      </c>
      <c r="B7" s="48"/>
      <c r="C7" s="48"/>
      <c r="D7" s="48"/>
      <c r="E7" s="49"/>
    </row>
    <row r="8" spans="1:5" ht="24.95" customHeight="1" x14ac:dyDescent="0.25">
      <c r="A8" s="45">
        <v>5</v>
      </c>
      <c r="B8" s="50"/>
      <c r="C8" s="50"/>
      <c r="D8" s="50"/>
      <c r="E8" s="49"/>
    </row>
    <row r="9" spans="1:5" ht="24.95" customHeight="1" x14ac:dyDescent="0.25">
      <c r="A9" s="45">
        <v>6</v>
      </c>
      <c r="B9" s="50"/>
      <c r="C9" s="50"/>
      <c r="D9" s="50"/>
      <c r="E9" s="49"/>
    </row>
    <row r="10" spans="1:5" ht="24.95" customHeight="1" x14ac:dyDescent="0.25">
      <c r="A10" s="45">
        <v>7</v>
      </c>
      <c r="B10" s="50"/>
      <c r="C10" s="50"/>
      <c r="D10" s="50"/>
      <c r="E10" s="49"/>
    </row>
    <row r="11" spans="1:5" ht="24.95" customHeight="1" x14ac:dyDescent="0.25">
      <c r="A11" s="45">
        <v>8</v>
      </c>
      <c r="B11" s="50"/>
      <c r="C11" s="50"/>
      <c r="D11" s="50"/>
      <c r="E11" s="49"/>
    </row>
    <row r="12" spans="1:5" ht="24.95" customHeight="1" x14ac:dyDescent="0.25">
      <c r="A12" s="45">
        <v>9</v>
      </c>
      <c r="B12" s="50"/>
      <c r="C12" s="50"/>
      <c r="D12" s="50"/>
      <c r="E12" s="49"/>
    </row>
    <row r="13" spans="1:5" ht="24.95" customHeight="1" x14ac:dyDescent="0.25">
      <c r="A13" s="45">
        <v>10</v>
      </c>
      <c r="B13" s="50"/>
      <c r="C13" s="50"/>
      <c r="D13" s="50"/>
      <c r="E13" s="49"/>
    </row>
    <row r="14" spans="1:5" ht="24.95" customHeight="1" x14ac:dyDescent="0.25">
      <c r="A14" s="45">
        <v>11</v>
      </c>
      <c r="B14" s="50"/>
      <c r="C14" s="50"/>
      <c r="D14" s="50"/>
      <c r="E14" s="49"/>
    </row>
    <row r="15" spans="1:5" ht="24.95" customHeight="1" x14ac:dyDescent="0.25">
      <c r="A15" s="45">
        <v>12</v>
      </c>
      <c r="B15" s="50"/>
      <c r="C15" s="50"/>
      <c r="D15" s="50"/>
      <c r="E15" s="49"/>
    </row>
    <row r="16" spans="1:5" ht="24.95" customHeight="1" x14ac:dyDescent="0.25">
      <c r="A16" s="45">
        <v>13</v>
      </c>
      <c r="B16" s="50"/>
      <c r="C16" s="50"/>
      <c r="D16" s="50"/>
      <c r="E16" s="49"/>
    </row>
    <row r="17" spans="1:5" ht="24.95" customHeight="1" x14ac:dyDescent="0.25">
      <c r="A17" s="45">
        <v>14</v>
      </c>
      <c r="B17" s="50"/>
      <c r="C17" s="50"/>
      <c r="D17" s="50"/>
      <c r="E17" s="49"/>
    </row>
    <row r="18" spans="1:5" ht="24.95" customHeight="1" x14ac:dyDescent="0.25">
      <c r="A18" s="45">
        <v>15</v>
      </c>
      <c r="B18" s="50"/>
      <c r="C18" s="50"/>
      <c r="D18" s="50"/>
      <c r="E18" s="49"/>
    </row>
    <row r="19" spans="1:5" ht="24.95" customHeight="1" x14ac:dyDescent="0.25">
      <c r="A19" s="45">
        <v>16</v>
      </c>
      <c r="B19" s="50"/>
      <c r="C19" s="50"/>
      <c r="D19" s="50"/>
      <c r="E19" s="49"/>
    </row>
    <row r="20" spans="1:5" ht="24.95" customHeight="1" x14ac:dyDescent="0.25">
      <c r="A20" s="45">
        <v>17</v>
      </c>
      <c r="B20" s="50"/>
      <c r="C20" s="50"/>
      <c r="D20" s="50"/>
      <c r="E20" s="49"/>
    </row>
    <row r="21" spans="1:5" ht="24.95" customHeight="1" x14ac:dyDescent="0.25">
      <c r="A21" s="45">
        <v>18</v>
      </c>
      <c r="B21" s="50"/>
      <c r="C21" s="50"/>
      <c r="D21" s="50"/>
      <c r="E21" s="49"/>
    </row>
    <row r="22" spans="1:5" ht="24.95" customHeight="1" x14ac:dyDescent="0.25">
      <c r="A22" s="45">
        <v>19</v>
      </c>
      <c r="B22" s="50"/>
      <c r="C22" s="50"/>
      <c r="D22" s="50"/>
      <c r="E22" s="49"/>
    </row>
    <row r="23" spans="1:5" ht="24.95" customHeight="1" x14ac:dyDescent="0.25">
      <c r="A23" s="45">
        <v>20</v>
      </c>
      <c r="B23" s="50"/>
      <c r="C23" s="50"/>
      <c r="D23" s="50"/>
      <c r="E23" s="49"/>
    </row>
    <row r="24" spans="1:5" ht="24.95" customHeight="1" x14ac:dyDescent="0.25">
      <c r="A24" s="45">
        <v>21</v>
      </c>
      <c r="B24" s="50"/>
      <c r="C24" s="50"/>
      <c r="D24" s="50"/>
      <c r="E24" s="49"/>
    </row>
    <row r="25" spans="1:5" ht="24.95" customHeight="1" x14ac:dyDescent="0.25">
      <c r="A25" s="45">
        <v>22</v>
      </c>
      <c r="B25" s="50"/>
      <c r="C25" s="50"/>
      <c r="D25" s="50"/>
      <c r="E25" s="49"/>
    </row>
    <row r="26" spans="1:5" ht="24.95" customHeight="1" x14ac:dyDescent="0.25">
      <c r="A26" s="45">
        <v>23</v>
      </c>
      <c r="B26" s="50"/>
      <c r="C26" s="50"/>
      <c r="D26" s="50"/>
      <c r="E26" s="49"/>
    </row>
    <row r="27" spans="1:5" ht="24.95" customHeight="1" x14ac:dyDescent="0.25">
      <c r="A27" s="45">
        <v>24</v>
      </c>
      <c r="B27" s="50"/>
      <c r="C27" s="50"/>
      <c r="D27" s="50"/>
      <c r="E27" s="49"/>
    </row>
    <row r="28" spans="1:5" ht="24.95" customHeight="1" x14ac:dyDescent="0.25">
      <c r="A28" s="45">
        <v>25</v>
      </c>
      <c r="B28" s="50"/>
      <c r="C28" s="50"/>
      <c r="D28" s="50"/>
      <c r="E28" s="49"/>
    </row>
    <row r="29" spans="1:5" ht="24.95" customHeight="1" x14ac:dyDescent="0.25">
      <c r="A29" s="45">
        <v>26</v>
      </c>
      <c r="B29" s="50"/>
      <c r="C29" s="50"/>
      <c r="D29" s="50"/>
      <c r="E29" s="49"/>
    </row>
    <row r="30" spans="1:5" ht="24.95" customHeight="1" x14ac:dyDescent="0.25">
      <c r="A30" s="45">
        <v>27</v>
      </c>
      <c r="B30" s="50"/>
      <c r="C30" s="50"/>
      <c r="D30" s="50"/>
      <c r="E30" s="49"/>
    </row>
    <row r="31" spans="1:5" ht="24.95" customHeight="1" x14ac:dyDescent="0.25">
      <c r="A31" s="45">
        <v>28</v>
      </c>
      <c r="B31" s="50"/>
      <c r="C31" s="50"/>
      <c r="D31" s="50"/>
      <c r="E31" s="49"/>
    </row>
    <row r="32" spans="1:5" ht="24.95" customHeight="1" x14ac:dyDescent="0.25">
      <c r="A32" s="45">
        <v>29</v>
      </c>
      <c r="B32" s="50"/>
      <c r="C32" s="50"/>
      <c r="D32" s="50"/>
      <c r="E32" s="49"/>
    </row>
    <row r="33" spans="1:5" ht="17.25" x14ac:dyDescent="0.25">
      <c r="A33" s="63"/>
      <c r="B33" s="65"/>
      <c r="C33" s="65"/>
      <c r="D33" s="65"/>
      <c r="E33" s="66"/>
    </row>
    <row r="34" spans="1:5" ht="17.25" x14ac:dyDescent="0.25">
      <c r="A34" s="63"/>
      <c r="B34" s="65"/>
      <c r="C34" s="65"/>
      <c r="D34" s="65"/>
      <c r="E34" s="66"/>
    </row>
    <row r="35" spans="1:5" ht="17.25" x14ac:dyDescent="0.25">
      <c r="A35" s="63"/>
      <c r="B35" s="65"/>
      <c r="C35" s="65"/>
      <c r="D35" s="65"/>
      <c r="E35" s="66"/>
    </row>
    <row r="36" spans="1:5" ht="17.25" x14ac:dyDescent="0.25">
      <c r="A36" s="63"/>
      <c r="B36" s="65"/>
      <c r="C36" s="65"/>
      <c r="D36" s="65"/>
      <c r="E36" s="66"/>
    </row>
  </sheetData>
  <mergeCells count="2">
    <mergeCell ref="A1:E1"/>
    <mergeCell ref="A2:E2"/>
  </mergeCells>
  <pageMargins left="0.7" right="0.15" top="0.75" bottom="0.12" header="0.3" footer="0.3"/>
  <pageSetup scale="90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3"/>
  <sheetViews>
    <sheetView workbookViewId="0">
      <selection activeCell="C41" sqref="C41"/>
    </sheetView>
  </sheetViews>
  <sheetFormatPr baseColWidth="10" defaultRowHeight="15" x14ac:dyDescent="0.25"/>
  <cols>
    <col min="1" max="1" width="3.85546875" bestFit="1" customWidth="1"/>
    <col min="2" max="2" width="49.140625" bestFit="1" customWidth="1"/>
    <col min="3" max="3" width="19.85546875" bestFit="1" customWidth="1"/>
  </cols>
  <sheetData>
    <row r="1" spans="1:3" x14ac:dyDescent="0.25">
      <c r="A1" s="205" t="s">
        <v>151</v>
      </c>
      <c r="B1" s="206"/>
      <c r="C1" s="207"/>
    </row>
    <row r="3" spans="1:3" x14ac:dyDescent="0.25">
      <c r="A3" s="43" t="s">
        <v>2</v>
      </c>
      <c r="B3" s="43" t="s">
        <v>3</v>
      </c>
      <c r="C3" s="43" t="s">
        <v>62</v>
      </c>
    </row>
    <row r="4" spans="1:3" ht="17.25" x14ac:dyDescent="0.25">
      <c r="A4" s="45">
        <v>1</v>
      </c>
      <c r="B4" s="48" t="s">
        <v>70</v>
      </c>
      <c r="C4" s="47" t="s">
        <v>121</v>
      </c>
    </row>
    <row r="5" spans="1:3" ht="17.25" x14ac:dyDescent="0.25">
      <c r="A5" s="45">
        <v>3</v>
      </c>
      <c r="B5" s="48" t="s">
        <v>100</v>
      </c>
      <c r="C5" s="47" t="s">
        <v>121</v>
      </c>
    </row>
    <row r="6" spans="1:3" ht="17.25" x14ac:dyDescent="0.25">
      <c r="A6" s="45">
        <v>4</v>
      </c>
      <c r="B6" s="48" t="s">
        <v>122</v>
      </c>
      <c r="C6" s="47" t="s">
        <v>121</v>
      </c>
    </row>
    <row r="7" spans="1:3" ht="17.25" x14ac:dyDescent="0.25">
      <c r="A7" s="45">
        <v>2</v>
      </c>
      <c r="B7" s="48" t="s">
        <v>14</v>
      </c>
      <c r="C7" s="47" t="s">
        <v>121</v>
      </c>
    </row>
    <row r="8" spans="1:3" ht="17.25" x14ac:dyDescent="0.25">
      <c r="A8" s="45">
        <v>5</v>
      </c>
      <c r="B8" s="50" t="s">
        <v>30</v>
      </c>
      <c r="C8" s="47" t="s">
        <v>121</v>
      </c>
    </row>
    <row r="9" spans="1:3" ht="17.25" x14ac:dyDescent="0.25">
      <c r="A9" s="45">
        <v>6</v>
      </c>
      <c r="B9" s="48" t="s">
        <v>32</v>
      </c>
      <c r="C9" s="47" t="s">
        <v>121</v>
      </c>
    </row>
    <row r="10" spans="1:3" ht="17.25" x14ac:dyDescent="0.25">
      <c r="A10" s="45">
        <v>7</v>
      </c>
      <c r="B10" s="48" t="s">
        <v>18</v>
      </c>
      <c r="C10" s="47" t="s">
        <v>121</v>
      </c>
    </row>
    <row r="11" spans="1:3" ht="17.25" x14ac:dyDescent="0.25">
      <c r="A11" s="45">
        <v>8</v>
      </c>
      <c r="B11" s="91" t="s">
        <v>150</v>
      </c>
      <c r="C11" s="87" t="s">
        <v>127</v>
      </c>
    </row>
    <row r="12" spans="1:3" ht="17.25" x14ac:dyDescent="0.25">
      <c r="A12" s="45">
        <v>9</v>
      </c>
      <c r="B12" s="86" t="s">
        <v>27</v>
      </c>
      <c r="C12" s="87" t="s">
        <v>127</v>
      </c>
    </row>
    <row r="13" spans="1:3" ht="17.25" x14ac:dyDescent="0.25">
      <c r="A13" s="45">
        <v>12</v>
      </c>
      <c r="B13" s="86" t="s">
        <v>155</v>
      </c>
      <c r="C13" s="87" t="s">
        <v>127</v>
      </c>
    </row>
    <row r="14" spans="1:3" ht="17.25" x14ac:dyDescent="0.25">
      <c r="A14" s="45">
        <v>11</v>
      </c>
      <c r="B14" s="88" t="s">
        <v>102</v>
      </c>
      <c r="C14" s="87" t="s">
        <v>127</v>
      </c>
    </row>
    <row r="15" spans="1:3" ht="17.25" x14ac:dyDescent="0.25">
      <c r="A15" s="45">
        <v>10</v>
      </c>
      <c r="B15" s="86" t="s">
        <v>38</v>
      </c>
      <c r="C15" s="87" t="s">
        <v>127</v>
      </c>
    </row>
    <row r="16" spans="1:3" ht="17.25" x14ac:dyDescent="0.25">
      <c r="A16" s="45">
        <v>15</v>
      </c>
      <c r="B16" s="92" t="s">
        <v>156</v>
      </c>
      <c r="C16" s="47" t="s">
        <v>126</v>
      </c>
    </row>
    <row r="17" spans="1:3" ht="17.25" x14ac:dyDescent="0.25">
      <c r="A17" s="45">
        <v>13</v>
      </c>
      <c r="B17" s="50" t="s">
        <v>9</v>
      </c>
      <c r="C17" s="47" t="s">
        <v>126</v>
      </c>
    </row>
    <row r="18" spans="1:3" ht="17.25" x14ac:dyDescent="0.25">
      <c r="A18" s="45">
        <v>14</v>
      </c>
      <c r="B18" s="48" t="s">
        <v>31</v>
      </c>
      <c r="C18" s="47" t="s">
        <v>126</v>
      </c>
    </row>
    <row r="19" spans="1:3" ht="17.25" x14ac:dyDescent="0.25">
      <c r="A19" s="45">
        <v>16</v>
      </c>
      <c r="B19" s="48" t="s">
        <v>101</v>
      </c>
      <c r="C19" s="47" t="s">
        <v>126</v>
      </c>
    </row>
    <row r="20" spans="1:3" ht="17.25" x14ac:dyDescent="0.25">
      <c r="A20" s="45">
        <v>17</v>
      </c>
      <c r="B20" s="48" t="s">
        <v>39</v>
      </c>
      <c r="C20" s="47" t="s">
        <v>126</v>
      </c>
    </row>
    <row r="21" spans="1:3" ht="17.25" x14ac:dyDescent="0.25">
      <c r="A21" s="45">
        <v>18</v>
      </c>
      <c r="B21" s="86" t="s">
        <v>36</v>
      </c>
      <c r="C21" s="87" t="s">
        <v>125</v>
      </c>
    </row>
    <row r="22" spans="1:3" ht="17.25" x14ac:dyDescent="0.25">
      <c r="A22" s="45">
        <v>19</v>
      </c>
      <c r="B22" s="86" t="s">
        <v>68</v>
      </c>
      <c r="C22" s="87" t="s">
        <v>125</v>
      </c>
    </row>
    <row r="23" spans="1:3" ht="17.25" x14ac:dyDescent="0.25">
      <c r="A23" s="45">
        <v>20</v>
      </c>
      <c r="B23" s="86" t="s">
        <v>19</v>
      </c>
      <c r="C23" s="87" t="s">
        <v>125</v>
      </c>
    </row>
    <row r="24" spans="1:3" ht="17.25" x14ac:dyDescent="0.25">
      <c r="A24" s="45">
        <v>21</v>
      </c>
      <c r="B24" s="86" t="s">
        <v>67</v>
      </c>
      <c r="C24" s="87" t="s">
        <v>125</v>
      </c>
    </row>
    <row r="25" spans="1:3" ht="17.25" x14ac:dyDescent="0.25">
      <c r="A25" s="45">
        <v>22</v>
      </c>
      <c r="B25" s="51" t="s">
        <v>78</v>
      </c>
      <c r="C25" s="47" t="s">
        <v>124</v>
      </c>
    </row>
    <row r="26" spans="1:3" ht="17.25" x14ac:dyDescent="0.25">
      <c r="A26" s="45">
        <v>23</v>
      </c>
      <c r="B26" s="48" t="s">
        <v>8</v>
      </c>
      <c r="C26" s="47" t="s">
        <v>124</v>
      </c>
    </row>
    <row r="27" spans="1:3" ht="17.25" x14ac:dyDescent="0.25">
      <c r="A27" s="45">
        <v>24</v>
      </c>
      <c r="B27" s="48" t="s">
        <v>40</v>
      </c>
      <c r="C27" s="47" t="s">
        <v>124</v>
      </c>
    </row>
    <row r="28" spans="1:3" ht="17.25" x14ac:dyDescent="0.25">
      <c r="A28" s="45">
        <v>25</v>
      </c>
      <c r="B28" s="48" t="s">
        <v>49</v>
      </c>
      <c r="C28" s="47" t="s">
        <v>124</v>
      </c>
    </row>
    <row r="29" spans="1:3" ht="17.25" x14ac:dyDescent="0.25">
      <c r="A29" s="45">
        <v>26</v>
      </c>
      <c r="B29" s="46" t="s">
        <v>35</v>
      </c>
      <c r="C29" s="47" t="s">
        <v>124</v>
      </c>
    </row>
    <row r="30" spans="1:3" ht="17.25" x14ac:dyDescent="0.25">
      <c r="A30" s="45">
        <v>27</v>
      </c>
      <c r="B30" s="48" t="s">
        <v>12</v>
      </c>
      <c r="C30" s="47" t="s">
        <v>124</v>
      </c>
    </row>
    <row r="31" spans="1:3" ht="17.25" x14ac:dyDescent="0.25">
      <c r="A31" s="45">
        <v>28</v>
      </c>
      <c r="B31" s="48" t="s">
        <v>29</v>
      </c>
      <c r="C31" s="47" t="s">
        <v>124</v>
      </c>
    </row>
    <row r="32" spans="1:3" ht="17.25" x14ac:dyDescent="0.25">
      <c r="A32" s="45">
        <v>29</v>
      </c>
      <c r="B32" s="89" t="s">
        <v>33</v>
      </c>
      <c r="C32" s="87" t="s">
        <v>123</v>
      </c>
    </row>
    <row r="33" spans="1:3" ht="17.25" x14ac:dyDescent="0.25">
      <c r="A33" s="45">
        <v>30</v>
      </c>
      <c r="B33" s="86" t="s">
        <v>21</v>
      </c>
      <c r="C33" s="87" t="s">
        <v>123</v>
      </c>
    </row>
    <row r="34" spans="1:3" ht="17.25" x14ac:dyDescent="0.25">
      <c r="A34" s="45">
        <v>31</v>
      </c>
      <c r="B34" s="86" t="s">
        <v>23</v>
      </c>
      <c r="C34" s="87" t="s">
        <v>123</v>
      </c>
    </row>
    <row r="35" spans="1:3" ht="17.25" x14ac:dyDescent="0.25">
      <c r="A35" s="45">
        <v>32</v>
      </c>
      <c r="B35" s="86" t="s">
        <v>26</v>
      </c>
      <c r="C35" s="87" t="s">
        <v>123</v>
      </c>
    </row>
    <row r="36" spans="1:3" ht="17.25" x14ac:dyDescent="0.25">
      <c r="A36" s="45">
        <v>33</v>
      </c>
      <c r="B36" s="90" t="s">
        <v>28</v>
      </c>
      <c r="C36" s="87" t="s">
        <v>123</v>
      </c>
    </row>
    <row r="37" spans="1:3" ht="17.25" x14ac:dyDescent="0.25">
      <c r="A37" s="45">
        <v>39</v>
      </c>
      <c r="B37" s="86" t="s">
        <v>153</v>
      </c>
      <c r="C37" s="87" t="s">
        <v>123</v>
      </c>
    </row>
    <row r="38" spans="1:3" ht="17.25" x14ac:dyDescent="0.25">
      <c r="A38" s="45">
        <v>34</v>
      </c>
      <c r="B38" s="86" t="s">
        <v>25</v>
      </c>
      <c r="C38" s="87" t="s">
        <v>123</v>
      </c>
    </row>
    <row r="39" spans="1:3" ht="17.25" x14ac:dyDescent="0.25">
      <c r="A39" s="45">
        <v>35</v>
      </c>
      <c r="B39" s="86" t="s">
        <v>15</v>
      </c>
      <c r="C39" s="87" t="s">
        <v>123</v>
      </c>
    </row>
    <row r="40" spans="1:3" ht="17.25" x14ac:dyDescent="0.25">
      <c r="A40" s="45">
        <v>36</v>
      </c>
      <c r="B40" s="86" t="s">
        <v>22</v>
      </c>
      <c r="C40" s="87" t="s">
        <v>123</v>
      </c>
    </row>
    <row r="41" spans="1:3" ht="17.25" x14ac:dyDescent="0.25">
      <c r="A41" s="45">
        <v>37</v>
      </c>
      <c r="B41" s="86" t="s">
        <v>24</v>
      </c>
      <c r="C41" s="87" t="s">
        <v>123</v>
      </c>
    </row>
    <row r="42" spans="1:3" ht="17.25" x14ac:dyDescent="0.25">
      <c r="A42" s="45">
        <v>38</v>
      </c>
      <c r="B42" s="86" t="s">
        <v>99</v>
      </c>
      <c r="C42" s="87" t="s">
        <v>123</v>
      </c>
    </row>
    <row r="43" spans="1:3" ht="17.25" x14ac:dyDescent="0.25">
      <c r="A43" s="45">
        <v>40</v>
      </c>
      <c r="B43" s="86" t="s">
        <v>41</v>
      </c>
      <c r="C43" s="87" t="s">
        <v>123</v>
      </c>
    </row>
  </sheetData>
  <autoFilter ref="A3:C3" xr:uid="{00000000-0009-0000-0000-000009000000}">
    <sortState xmlns:xlrd2="http://schemas.microsoft.com/office/spreadsheetml/2017/richdata2" ref="A4:C43">
      <sortCondition ref="C3"/>
    </sortState>
  </autoFilter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Y50"/>
  <sheetViews>
    <sheetView view="pageBreakPreview" topLeftCell="A16" zoomScale="130" zoomScaleNormal="100" zoomScaleSheetLayoutView="130" workbookViewId="0">
      <selection activeCell="Z12" sqref="Z12"/>
    </sheetView>
  </sheetViews>
  <sheetFormatPr baseColWidth="10" defaultRowHeight="15" x14ac:dyDescent="0.25"/>
  <cols>
    <col min="1" max="1" width="41" customWidth="1"/>
    <col min="2" max="2" width="17.5703125" bestFit="1" customWidth="1"/>
    <col min="3" max="3" width="8.85546875" bestFit="1" customWidth="1"/>
    <col min="4" max="4" width="8.85546875" style="13" customWidth="1"/>
    <col min="5" max="5" width="13.42578125" style="13" bestFit="1" customWidth="1"/>
    <col min="6" max="6" width="17.42578125" style="12" customWidth="1"/>
    <col min="7" max="7" width="11.42578125" style="12" customWidth="1"/>
    <col min="8" max="8" width="11.42578125" hidden="1" customWidth="1"/>
    <col min="9" max="9" width="41" bestFit="1" customWidth="1"/>
    <col min="10" max="10" width="17.5703125" bestFit="1" customWidth="1"/>
    <col min="11" max="12" width="11.140625" bestFit="1" customWidth="1"/>
    <col min="13" max="13" width="9.7109375" bestFit="1" customWidth="1"/>
    <col min="14" max="15" width="10" customWidth="1"/>
    <col min="16" max="16" width="14.85546875" bestFit="1" customWidth="1"/>
    <col min="17" max="17" width="0.28515625" customWidth="1"/>
    <col min="18" max="18" width="41.140625" bestFit="1" customWidth="1"/>
    <col min="19" max="19" width="18" bestFit="1" customWidth="1"/>
    <col min="20" max="20" width="9.28515625" bestFit="1" customWidth="1"/>
    <col min="21" max="21" width="7.7109375" customWidth="1"/>
    <col min="22" max="22" width="7" bestFit="1" customWidth="1"/>
  </cols>
  <sheetData>
    <row r="1" spans="1:25" ht="31.5" x14ac:dyDescent="0.5">
      <c r="A1" s="208" t="s">
        <v>87</v>
      </c>
      <c r="B1" s="208"/>
      <c r="C1" s="208"/>
      <c r="D1" s="208"/>
      <c r="E1" s="208"/>
      <c r="F1" s="208"/>
      <c r="G1" s="208"/>
      <c r="I1" s="208" t="s">
        <v>88</v>
      </c>
      <c r="J1" s="208"/>
      <c r="K1" s="208"/>
      <c r="L1" s="208"/>
      <c r="M1" s="208"/>
      <c r="N1" s="208"/>
      <c r="O1" s="208"/>
      <c r="P1" s="208"/>
      <c r="R1" s="208" t="s">
        <v>93</v>
      </c>
      <c r="S1" s="208"/>
      <c r="T1" s="208"/>
      <c r="U1" s="208"/>
      <c r="V1" s="208"/>
      <c r="W1" s="208"/>
      <c r="X1" s="208"/>
      <c r="Y1" s="208"/>
    </row>
    <row r="3" spans="1:25" x14ac:dyDescent="0.25">
      <c r="A3" s="11" t="s">
        <v>52</v>
      </c>
      <c r="B3" s="11" t="s">
        <v>52</v>
      </c>
      <c r="C3" s="14" t="s">
        <v>51</v>
      </c>
      <c r="D3" s="14" t="s">
        <v>51</v>
      </c>
      <c r="E3" s="14" t="s">
        <v>52</v>
      </c>
      <c r="I3" s="11" t="s">
        <v>52</v>
      </c>
      <c r="J3" s="11" t="s">
        <v>52</v>
      </c>
      <c r="K3" s="14" t="s">
        <v>51</v>
      </c>
      <c r="L3" s="14" t="s">
        <v>51</v>
      </c>
      <c r="M3" s="14" t="s">
        <v>52</v>
      </c>
      <c r="N3" s="12"/>
      <c r="O3" s="12"/>
      <c r="P3" s="12"/>
      <c r="R3" s="11" t="s">
        <v>52</v>
      </c>
      <c r="S3" s="11" t="s">
        <v>52</v>
      </c>
      <c r="T3" s="14" t="s">
        <v>51</v>
      </c>
      <c r="U3" s="14" t="s">
        <v>51</v>
      </c>
      <c r="V3" s="14" t="s">
        <v>52</v>
      </c>
      <c r="W3" s="12"/>
      <c r="X3" s="12"/>
      <c r="Y3" s="12"/>
    </row>
    <row r="4" spans="1:25" ht="15.75" x14ac:dyDescent="0.25">
      <c r="A4" s="9" t="s">
        <v>35</v>
      </c>
      <c r="B4" s="3" t="s">
        <v>48</v>
      </c>
      <c r="C4" s="14">
        <v>15060</v>
      </c>
      <c r="D4" s="14">
        <f>C4</f>
        <v>15060</v>
      </c>
      <c r="E4" s="31">
        <f>$G$6*D4</f>
        <v>10.251458543962743</v>
      </c>
      <c r="F4" s="28" t="s">
        <v>53</v>
      </c>
      <c r="G4" s="15">
        <f>SUM(D4:D47)</f>
        <v>293811.84999999998</v>
      </c>
      <c r="I4" s="9" t="s">
        <v>35</v>
      </c>
      <c r="J4" s="3" t="s">
        <v>48</v>
      </c>
      <c r="K4" s="14">
        <f>+C4</f>
        <v>15060</v>
      </c>
      <c r="L4" s="14">
        <v>4</v>
      </c>
      <c r="M4" s="31">
        <f>$P$6*L4</f>
        <v>175.82417582417582</v>
      </c>
      <c r="N4" s="209" t="s">
        <v>53</v>
      </c>
      <c r="O4" s="210"/>
      <c r="P4" s="15">
        <f>SUM(L4:L47)</f>
        <v>91</v>
      </c>
      <c r="R4" s="9" t="s">
        <v>35</v>
      </c>
      <c r="S4" s="3" t="s">
        <v>48</v>
      </c>
      <c r="T4" s="14">
        <f>+K4</f>
        <v>15060</v>
      </c>
      <c r="U4" s="14">
        <v>6</v>
      </c>
      <c r="V4" s="31">
        <f>$Y$6*U4</f>
        <v>165.51724137931035</v>
      </c>
      <c r="W4" s="209" t="s">
        <v>53</v>
      </c>
      <c r="X4" s="210"/>
      <c r="Y4" s="15">
        <f>SUM(U4:U47)</f>
        <v>145</v>
      </c>
    </row>
    <row r="5" spans="1:25" ht="15.75" x14ac:dyDescent="0.25">
      <c r="A5" s="9" t="s">
        <v>8</v>
      </c>
      <c r="B5" s="3" t="s">
        <v>48</v>
      </c>
      <c r="C5" s="14">
        <v>13930</v>
      </c>
      <c r="D5" s="14">
        <f t="shared" ref="D5:D47" si="0">C5</f>
        <v>13930</v>
      </c>
      <c r="E5" s="31">
        <f>$G$6*D5</f>
        <v>9.4822587992962166</v>
      </c>
      <c r="F5" s="28" t="s">
        <v>50</v>
      </c>
      <c r="G5" s="15">
        <v>200</v>
      </c>
      <c r="I5" s="9" t="s">
        <v>8</v>
      </c>
      <c r="J5" s="3" t="s">
        <v>48</v>
      </c>
      <c r="K5" s="14">
        <f t="shared" ref="K5:K47" si="1">+C5</f>
        <v>13930</v>
      </c>
      <c r="L5" s="14">
        <v>4</v>
      </c>
      <c r="M5" s="31">
        <f>$P$6*L5</f>
        <v>175.82417582417582</v>
      </c>
      <c r="N5" s="209" t="s">
        <v>89</v>
      </c>
      <c r="O5" s="210"/>
      <c r="P5" s="15">
        <v>4000</v>
      </c>
      <c r="R5" s="9" t="s">
        <v>8</v>
      </c>
      <c r="S5" s="3" t="s">
        <v>48</v>
      </c>
      <c r="T5" s="14">
        <f t="shared" ref="T5:T47" si="2">+K5</f>
        <v>13930</v>
      </c>
      <c r="U5" s="14">
        <v>6</v>
      </c>
      <c r="V5" s="31">
        <f>$Y$6*U5</f>
        <v>165.51724137931035</v>
      </c>
      <c r="W5" s="209" t="s">
        <v>89</v>
      </c>
      <c r="X5" s="210"/>
      <c r="Y5" s="15">
        <v>4000</v>
      </c>
    </row>
    <row r="6" spans="1:25" ht="15.75" x14ac:dyDescent="0.25">
      <c r="A6" s="9" t="s">
        <v>36</v>
      </c>
      <c r="B6" s="3" t="s">
        <v>48</v>
      </c>
      <c r="C6" s="14">
        <v>9325.6</v>
      </c>
      <c r="D6" s="14">
        <f t="shared" si="0"/>
        <v>9325.6</v>
      </c>
      <c r="E6" s="31">
        <f t="shared" ref="E6:E47" si="3">$G$6*D6</f>
        <v>6.3480080874886431</v>
      </c>
      <c r="F6" s="28" t="s">
        <v>54</v>
      </c>
      <c r="G6" s="15">
        <f>G5/G4</f>
        <v>6.8070773864294446E-4</v>
      </c>
      <c r="I6" s="9" t="s">
        <v>36</v>
      </c>
      <c r="J6" s="3" t="s">
        <v>48</v>
      </c>
      <c r="K6" s="14">
        <f t="shared" si="1"/>
        <v>9325.6</v>
      </c>
      <c r="L6" s="14">
        <v>3</v>
      </c>
      <c r="M6" s="31">
        <f>$P$6*L6</f>
        <v>131.86813186813185</v>
      </c>
      <c r="N6" s="209" t="s">
        <v>54</v>
      </c>
      <c r="O6" s="210"/>
      <c r="P6" s="15">
        <f>P5/P4</f>
        <v>43.956043956043956</v>
      </c>
      <c r="R6" s="9" t="s">
        <v>36</v>
      </c>
      <c r="S6" s="3" t="s">
        <v>48</v>
      </c>
      <c r="T6" s="14">
        <f t="shared" si="2"/>
        <v>9325.6</v>
      </c>
      <c r="U6" s="14">
        <v>5</v>
      </c>
      <c r="V6" s="31">
        <f>$Y$6*U6</f>
        <v>137.93103448275861</v>
      </c>
      <c r="W6" s="209" t="s">
        <v>54</v>
      </c>
      <c r="X6" s="210"/>
      <c r="Y6" s="15">
        <f>Y5/Y4</f>
        <v>27.586206896551722</v>
      </c>
    </row>
    <row r="7" spans="1:25" ht="16.5" thickBot="1" x14ac:dyDescent="0.3">
      <c r="A7" s="9" t="s">
        <v>9</v>
      </c>
      <c r="B7" s="3" t="s">
        <v>48</v>
      </c>
      <c r="C7" s="14">
        <v>8339.7000000000007</v>
      </c>
      <c r="D7" s="14">
        <f>C7</f>
        <v>8339.7000000000007</v>
      </c>
      <c r="E7" s="31">
        <f t="shared" si="3"/>
        <v>5.676898327960564</v>
      </c>
      <c r="I7" s="9" t="s">
        <v>9</v>
      </c>
      <c r="J7" s="3" t="s">
        <v>48</v>
      </c>
      <c r="K7" s="14">
        <f t="shared" si="1"/>
        <v>8339.7000000000007</v>
      </c>
      <c r="L7" s="14">
        <v>3</v>
      </c>
      <c r="M7" s="31">
        <f>$P$6*L7</f>
        <v>131.86813186813185</v>
      </c>
      <c r="N7" s="12"/>
      <c r="O7" s="12"/>
      <c r="P7" s="12"/>
      <c r="R7" s="9" t="s">
        <v>9</v>
      </c>
      <c r="S7" s="3" t="s">
        <v>48</v>
      </c>
      <c r="T7" s="14">
        <f t="shared" si="2"/>
        <v>8339.7000000000007</v>
      </c>
      <c r="U7" s="14">
        <v>4</v>
      </c>
      <c r="V7" s="31">
        <f>$Y$6*U7</f>
        <v>110.34482758620689</v>
      </c>
      <c r="W7" s="12"/>
      <c r="X7" s="12"/>
      <c r="Y7" s="12"/>
    </row>
    <row r="8" spans="1:25" ht="16.5" thickTop="1" x14ac:dyDescent="0.25">
      <c r="A8" s="9" t="s">
        <v>69</v>
      </c>
      <c r="B8" s="3" t="s">
        <v>48</v>
      </c>
      <c r="C8" s="14">
        <v>11317</v>
      </c>
      <c r="D8" s="14">
        <f>C8</f>
        <v>11317</v>
      </c>
      <c r="E8" s="31">
        <f t="shared" si="3"/>
        <v>7.7035694782222022</v>
      </c>
      <c r="I8" s="9" t="s">
        <v>69</v>
      </c>
      <c r="J8" s="3" t="s">
        <v>48</v>
      </c>
      <c r="K8" s="14">
        <f t="shared" si="1"/>
        <v>11317</v>
      </c>
      <c r="L8" s="14">
        <v>3</v>
      </c>
      <c r="M8" s="33">
        <f>$P$6*L8</f>
        <v>131.86813186813185</v>
      </c>
      <c r="N8" s="34" t="s">
        <v>90</v>
      </c>
      <c r="O8" s="35" t="s">
        <v>91</v>
      </c>
      <c r="P8" s="36" t="s">
        <v>92</v>
      </c>
      <c r="Q8" s="13"/>
      <c r="R8" s="9" t="s">
        <v>69</v>
      </c>
      <c r="S8" s="3" t="s">
        <v>48</v>
      </c>
      <c r="T8" s="14">
        <f t="shared" si="2"/>
        <v>11317</v>
      </c>
      <c r="U8" s="14">
        <v>5</v>
      </c>
      <c r="V8" s="31">
        <f>$Y$6*U8</f>
        <v>137.93103448275861</v>
      </c>
      <c r="W8" s="34" t="s">
        <v>90</v>
      </c>
      <c r="X8" s="35" t="s">
        <v>91</v>
      </c>
      <c r="Y8" s="36" t="s">
        <v>92</v>
      </c>
    </row>
    <row r="9" spans="1:25" ht="15.75" x14ac:dyDescent="0.25">
      <c r="A9" s="9"/>
      <c r="B9" s="3"/>
      <c r="C9" s="14"/>
      <c r="D9" s="14"/>
      <c r="E9" s="31"/>
      <c r="I9" s="9"/>
      <c r="J9" s="3"/>
      <c r="K9" s="14">
        <f t="shared" si="1"/>
        <v>0</v>
      </c>
      <c r="L9" s="14"/>
      <c r="M9" s="33"/>
      <c r="N9" s="37">
        <v>2000</v>
      </c>
      <c r="O9" s="22">
        <v>4000</v>
      </c>
      <c r="P9" s="38">
        <v>1</v>
      </c>
      <c r="Q9" s="13"/>
      <c r="R9" s="9"/>
      <c r="S9" s="3"/>
      <c r="T9" s="14">
        <f t="shared" si="2"/>
        <v>0</v>
      </c>
      <c r="U9" s="14"/>
      <c r="V9" s="31"/>
      <c r="W9" s="37">
        <v>2000</v>
      </c>
      <c r="X9" s="22">
        <v>3000</v>
      </c>
      <c r="Y9" s="38">
        <v>1</v>
      </c>
    </row>
    <row r="10" spans="1:25" ht="15.75" x14ac:dyDescent="0.25">
      <c r="A10" s="9"/>
      <c r="B10" s="3"/>
      <c r="C10" s="14"/>
      <c r="D10" s="14"/>
      <c r="E10" s="31"/>
      <c r="I10" s="9"/>
      <c r="J10" s="3"/>
      <c r="K10" s="14">
        <f t="shared" si="1"/>
        <v>0</v>
      </c>
      <c r="L10" s="14"/>
      <c r="M10" s="33"/>
      <c r="N10" s="37">
        <v>4001</v>
      </c>
      <c r="O10" s="22">
        <v>8000</v>
      </c>
      <c r="P10" s="38">
        <v>2</v>
      </c>
      <c r="Q10" s="13"/>
      <c r="R10" s="9"/>
      <c r="S10" s="3"/>
      <c r="T10" s="14">
        <f t="shared" si="2"/>
        <v>0</v>
      </c>
      <c r="U10" s="14"/>
      <c r="V10" s="31"/>
      <c r="W10" s="37">
        <v>3001</v>
      </c>
      <c r="X10" s="22">
        <v>4000</v>
      </c>
      <c r="Y10" s="38">
        <v>2</v>
      </c>
    </row>
    <row r="11" spans="1:25" ht="15.75" x14ac:dyDescent="0.25">
      <c r="A11" s="9" t="s">
        <v>33</v>
      </c>
      <c r="B11" s="3" t="s">
        <v>46</v>
      </c>
      <c r="C11" s="14">
        <v>9603</v>
      </c>
      <c r="D11" s="14">
        <f t="shared" si="0"/>
        <v>9603</v>
      </c>
      <c r="E11" s="31">
        <f t="shared" si="3"/>
        <v>6.5368364141881958</v>
      </c>
      <c r="I11" s="9" t="s">
        <v>33</v>
      </c>
      <c r="J11" s="3" t="s">
        <v>46</v>
      </c>
      <c r="K11" s="14">
        <f t="shared" si="1"/>
        <v>9603</v>
      </c>
      <c r="L11" s="14">
        <v>3</v>
      </c>
      <c r="M11" s="33">
        <f t="shared" ref="M11:M26" si="4">$P$6*L11</f>
        <v>131.86813186813185</v>
      </c>
      <c r="N11" s="37">
        <v>8001</v>
      </c>
      <c r="O11" s="22">
        <v>12000</v>
      </c>
      <c r="P11" s="38">
        <v>3</v>
      </c>
      <c r="Q11" s="13"/>
      <c r="R11" s="9" t="s">
        <v>33</v>
      </c>
      <c r="S11" s="3" t="s">
        <v>46</v>
      </c>
      <c r="T11" s="14">
        <f t="shared" si="2"/>
        <v>9603</v>
      </c>
      <c r="U11" s="14">
        <v>5</v>
      </c>
      <c r="V11" s="31">
        <f t="shared" ref="V11:V26" si="5">$Y$6*U11</f>
        <v>137.93103448275861</v>
      </c>
      <c r="W11" s="37">
        <v>4001</v>
      </c>
      <c r="X11" s="22">
        <v>6000</v>
      </c>
      <c r="Y11" s="38">
        <v>3</v>
      </c>
    </row>
    <row r="12" spans="1:25" ht="16.5" thickBot="1" x14ac:dyDescent="0.3">
      <c r="A12" s="9" t="s">
        <v>40</v>
      </c>
      <c r="B12" s="3" t="s">
        <v>46</v>
      </c>
      <c r="C12" s="14">
        <v>13459.5</v>
      </c>
      <c r="D12" s="14">
        <f t="shared" si="0"/>
        <v>13459.5</v>
      </c>
      <c r="E12" s="31">
        <f t="shared" si="3"/>
        <v>9.1619858082647117</v>
      </c>
      <c r="I12" s="9" t="s">
        <v>40</v>
      </c>
      <c r="J12" s="3" t="s">
        <v>46</v>
      </c>
      <c r="K12" s="14">
        <f t="shared" si="1"/>
        <v>13459.5</v>
      </c>
      <c r="L12" s="14">
        <v>4</v>
      </c>
      <c r="M12" s="33">
        <f t="shared" si="4"/>
        <v>175.82417582417582</v>
      </c>
      <c r="N12" s="39">
        <v>12001</v>
      </c>
      <c r="O12" s="40">
        <v>16000</v>
      </c>
      <c r="P12" s="41">
        <v>4</v>
      </c>
      <c r="Q12" s="13"/>
      <c r="R12" s="9" t="s">
        <v>40</v>
      </c>
      <c r="S12" s="3" t="s">
        <v>46</v>
      </c>
      <c r="T12" s="14">
        <f t="shared" si="2"/>
        <v>13459.5</v>
      </c>
      <c r="U12" s="14">
        <v>6</v>
      </c>
      <c r="V12" s="31">
        <f t="shared" si="5"/>
        <v>165.51724137931035</v>
      </c>
      <c r="W12" s="37">
        <v>6001</v>
      </c>
      <c r="X12" s="22">
        <v>9000</v>
      </c>
      <c r="Y12" s="38">
        <v>4</v>
      </c>
    </row>
    <row r="13" spans="1:25" ht="16.5" thickTop="1" x14ac:dyDescent="0.25">
      <c r="A13" s="9" t="s">
        <v>37</v>
      </c>
      <c r="B13" s="3" t="s">
        <v>46</v>
      </c>
      <c r="C13" s="14">
        <v>12388.25</v>
      </c>
      <c r="D13" s="14">
        <f t="shared" si="0"/>
        <v>12388.25</v>
      </c>
      <c r="E13" s="31">
        <f t="shared" si="3"/>
        <v>8.4327776432434565</v>
      </c>
      <c r="I13" s="9" t="s">
        <v>37</v>
      </c>
      <c r="J13" s="3" t="s">
        <v>46</v>
      </c>
      <c r="K13" s="14">
        <f t="shared" si="1"/>
        <v>12388.25</v>
      </c>
      <c r="L13" s="14">
        <v>4</v>
      </c>
      <c r="M13" s="31">
        <f t="shared" si="4"/>
        <v>175.82417582417582</v>
      </c>
      <c r="N13" s="12"/>
      <c r="O13" s="12"/>
      <c r="P13" s="12"/>
      <c r="R13" s="9" t="s">
        <v>37</v>
      </c>
      <c r="S13" s="3" t="s">
        <v>46</v>
      </c>
      <c r="T13" s="14">
        <f t="shared" si="2"/>
        <v>12388.25</v>
      </c>
      <c r="U13" s="14">
        <v>6</v>
      </c>
      <c r="V13" s="31">
        <f t="shared" si="5"/>
        <v>165.51724137931035</v>
      </c>
      <c r="W13" s="37">
        <v>9001</v>
      </c>
      <c r="X13" s="22">
        <v>12000</v>
      </c>
      <c r="Y13" s="38">
        <v>5</v>
      </c>
    </row>
    <row r="14" spans="1:25" ht="15.75" x14ac:dyDescent="0.25">
      <c r="A14" s="9" t="s">
        <v>42</v>
      </c>
      <c r="B14" s="3" t="s">
        <v>46</v>
      </c>
      <c r="C14" s="30">
        <v>9603</v>
      </c>
      <c r="D14" s="14">
        <f t="shared" si="0"/>
        <v>9603</v>
      </c>
      <c r="E14" s="31">
        <f t="shared" si="3"/>
        <v>6.5368364141881958</v>
      </c>
      <c r="I14" s="9" t="s">
        <v>42</v>
      </c>
      <c r="J14" s="3" t="s">
        <v>46</v>
      </c>
      <c r="K14" s="14">
        <f t="shared" si="1"/>
        <v>9603</v>
      </c>
      <c r="L14" s="14">
        <v>3</v>
      </c>
      <c r="M14" s="31">
        <f t="shared" si="4"/>
        <v>131.86813186813185</v>
      </c>
      <c r="N14" s="12"/>
      <c r="O14" s="12"/>
      <c r="P14" s="12"/>
      <c r="R14" s="9" t="s">
        <v>42</v>
      </c>
      <c r="S14" s="3" t="s">
        <v>46</v>
      </c>
      <c r="T14" s="14">
        <f t="shared" si="2"/>
        <v>9603</v>
      </c>
      <c r="U14" s="14">
        <v>5</v>
      </c>
      <c r="V14" s="31">
        <f t="shared" si="5"/>
        <v>137.93103448275861</v>
      </c>
      <c r="W14" s="37">
        <v>12001</v>
      </c>
      <c r="X14" s="22">
        <v>16000</v>
      </c>
      <c r="Y14" s="38">
        <v>6</v>
      </c>
    </row>
    <row r="15" spans="1:25" ht="16.5" thickBot="1" x14ac:dyDescent="0.3">
      <c r="A15" s="9" t="s">
        <v>31</v>
      </c>
      <c r="B15" s="3" t="s">
        <v>46</v>
      </c>
      <c r="C15" s="30">
        <v>10245.75</v>
      </c>
      <c r="D15" s="14">
        <f t="shared" si="0"/>
        <v>10245.75</v>
      </c>
      <c r="E15" s="31">
        <f t="shared" si="3"/>
        <v>6.9743613132009479</v>
      </c>
      <c r="I15" s="9" t="s">
        <v>31</v>
      </c>
      <c r="J15" s="3" t="s">
        <v>46</v>
      </c>
      <c r="K15" s="14">
        <f t="shared" si="1"/>
        <v>10245.75</v>
      </c>
      <c r="L15" s="14">
        <v>3</v>
      </c>
      <c r="M15" s="31">
        <f t="shared" si="4"/>
        <v>131.86813186813185</v>
      </c>
      <c r="N15" s="12"/>
      <c r="O15" s="12"/>
      <c r="P15" s="12"/>
      <c r="R15" s="9" t="s">
        <v>31</v>
      </c>
      <c r="S15" s="3" t="s">
        <v>46</v>
      </c>
      <c r="T15" s="14">
        <f t="shared" si="2"/>
        <v>10245.75</v>
      </c>
      <c r="U15" s="14">
        <v>5</v>
      </c>
      <c r="V15" s="31">
        <f t="shared" si="5"/>
        <v>137.93103448275861</v>
      </c>
      <c r="W15" s="39"/>
      <c r="X15" s="40"/>
      <c r="Y15" s="41">
        <v>7</v>
      </c>
    </row>
    <row r="16" spans="1:25" ht="16.5" thickTop="1" x14ac:dyDescent="0.25">
      <c r="A16" s="9" t="s">
        <v>15</v>
      </c>
      <c r="B16" s="3" t="s">
        <v>46</v>
      </c>
      <c r="C16" s="30">
        <v>11317</v>
      </c>
      <c r="D16" s="14">
        <f t="shared" si="0"/>
        <v>11317</v>
      </c>
      <c r="E16" s="31">
        <f t="shared" si="3"/>
        <v>7.7035694782222022</v>
      </c>
      <c r="I16" s="9" t="s">
        <v>15</v>
      </c>
      <c r="J16" s="3" t="s">
        <v>46</v>
      </c>
      <c r="K16" s="14">
        <f t="shared" si="1"/>
        <v>11317</v>
      </c>
      <c r="L16" s="14">
        <v>3</v>
      </c>
      <c r="M16" s="31">
        <f t="shared" si="4"/>
        <v>131.86813186813185</v>
      </c>
      <c r="N16" s="12"/>
      <c r="O16" s="12"/>
      <c r="P16" s="12"/>
      <c r="R16" s="9" t="s">
        <v>15</v>
      </c>
      <c r="S16" s="3" t="s">
        <v>46</v>
      </c>
      <c r="T16" s="14">
        <f t="shared" si="2"/>
        <v>11317</v>
      </c>
      <c r="U16" s="14">
        <v>5</v>
      </c>
      <c r="V16" s="31">
        <f t="shared" si="5"/>
        <v>137.93103448275861</v>
      </c>
      <c r="W16" s="12"/>
      <c r="X16" s="12"/>
      <c r="Y16" s="12"/>
    </row>
    <row r="17" spans="1:25" ht="15.75" x14ac:dyDescent="0.25">
      <c r="A17" s="9" t="s">
        <v>14</v>
      </c>
      <c r="B17" s="3" t="s">
        <v>46</v>
      </c>
      <c r="C17" s="30">
        <v>9603</v>
      </c>
      <c r="D17" s="14">
        <f t="shared" si="0"/>
        <v>9603</v>
      </c>
      <c r="E17" s="31">
        <f t="shared" si="3"/>
        <v>6.5368364141881958</v>
      </c>
      <c r="I17" s="9" t="s">
        <v>14</v>
      </c>
      <c r="J17" s="3" t="s">
        <v>46</v>
      </c>
      <c r="K17" s="14">
        <f t="shared" si="1"/>
        <v>9603</v>
      </c>
      <c r="L17" s="14">
        <v>3</v>
      </c>
      <c r="M17" s="31">
        <f t="shared" si="4"/>
        <v>131.86813186813185</v>
      </c>
      <c r="N17" s="12"/>
      <c r="O17" s="12"/>
      <c r="P17" s="12"/>
      <c r="R17" s="9" t="s">
        <v>14</v>
      </c>
      <c r="S17" s="3" t="s">
        <v>46</v>
      </c>
      <c r="T17" s="14">
        <f t="shared" si="2"/>
        <v>9603</v>
      </c>
      <c r="U17" s="14">
        <v>5</v>
      </c>
      <c r="V17" s="31">
        <f t="shared" si="5"/>
        <v>137.93103448275861</v>
      </c>
      <c r="W17" s="12"/>
      <c r="X17" s="12"/>
      <c r="Y17" s="12"/>
    </row>
    <row r="18" spans="1:25" ht="15.75" x14ac:dyDescent="0.25">
      <c r="A18" s="9" t="s">
        <v>49</v>
      </c>
      <c r="B18" s="3" t="s">
        <v>46</v>
      </c>
      <c r="C18" s="14">
        <v>9603</v>
      </c>
      <c r="D18" s="14">
        <f t="shared" si="0"/>
        <v>9603</v>
      </c>
      <c r="E18" s="31">
        <f t="shared" si="3"/>
        <v>6.5368364141881958</v>
      </c>
      <c r="I18" s="9" t="s">
        <v>49</v>
      </c>
      <c r="J18" s="3" t="s">
        <v>46</v>
      </c>
      <c r="K18" s="14">
        <f t="shared" si="1"/>
        <v>9603</v>
      </c>
      <c r="L18" s="14">
        <v>3</v>
      </c>
      <c r="M18" s="31">
        <f t="shared" si="4"/>
        <v>131.86813186813185</v>
      </c>
      <c r="N18" s="12"/>
      <c r="O18" s="12"/>
      <c r="P18" s="12"/>
      <c r="R18" s="9" t="s">
        <v>49</v>
      </c>
      <c r="S18" s="3" t="s">
        <v>46</v>
      </c>
      <c r="T18" s="14">
        <f t="shared" si="2"/>
        <v>9603</v>
      </c>
      <c r="U18" s="14">
        <v>5</v>
      </c>
      <c r="V18" s="31">
        <f t="shared" si="5"/>
        <v>137.93103448275861</v>
      </c>
      <c r="W18" s="12"/>
      <c r="X18" s="12"/>
      <c r="Y18" s="12"/>
    </row>
    <row r="19" spans="1:25" ht="15.75" x14ac:dyDescent="0.25">
      <c r="A19" s="9" t="s">
        <v>12</v>
      </c>
      <c r="B19" s="3" t="s">
        <v>46</v>
      </c>
      <c r="C19" s="14">
        <v>13459.5</v>
      </c>
      <c r="D19" s="14">
        <f t="shared" si="0"/>
        <v>13459.5</v>
      </c>
      <c r="E19" s="31">
        <f t="shared" si="3"/>
        <v>9.1619858082647117</v>
      </c>
      <c r="I19" s="9" t="s">
        <v>12</v>
      </c>
      <c r="J19" s="3" t="s">
        <v>46</v>
      </c>
      <c r="K19" s="14">
        <f t="shared" si="1"/>
        <v>13459.5</v>
      </c>
      <c r="L19" s="14">
        <v>4</v>
      </c>
      <c r="M19" s="31">
        <f t="shared" si="4"/>
        <v>175.82417582417582</v>
      </c>
      <c r="N19" s="12"/>
      <c r="O19" s="12"/>
      <c r="P19" s="12"/>
      <c r="R19" s="9" t="s">
        <v>12</v>
      </c>
      <c r="S19" s="3" t="s">
        <v>46</v>
      </c>
      <c r="T19" s="14">
        <f t="shared" si="2"/>
        <v>13459.5</v>
      </c>
      <c r="U19" s="14">
        <v>6</v>
      </c>
      <c r="V19" s="31">
        <f t="shared" si="5"/>
        <v>165.51724137931035</v>
      </c>
      <c r="W19" s="12"/>
      <c r="X19" s="12"/>
      <c r="Y19" s="12"/>
    </row>
    <row r="20" spans="1:25" ht="15.75" x14ac:dyDescent="0.25">
      <c r="A20" s="9" t="s">
        <v>29</v>
      </c>
      <c r="B20" s="3" t="s">
        <v>46</v>
      </c>
      <c r="C20" s="14">
        <v>12388.25</v>
      </c>
      <c r="D20" s="14">
        <f t="shared" si="0"/>
        <v>12388.25</v>
      </c>
      <c r="E20" s="31">
        <f t="shared" si="3"/>
        <v>8.4327776432434565</v>
      </c>
      <c r="I20" s="9" t="s">
        <v>29</v>
      </c>
      <c r="J20" s="3" t="s">
        <v>46</v>
      </c>
      <c r="K20" s="14">
        <f t="shared" si="1"/>
        <v>12388.25</v>
      </c>
      <c r="L20" s="14">
        <v>4</v>
      </c>
      <c r="M20" s="31">
        <f t="shared" si="4"/>
        <v>175.82417582417582</v>
      </c>
      <c r="N20" s="12"/>
      <c r="O20" s="12"/>
      <c r="P20" s="12"/>
      <c r="R20" s="9" t="s">
        <v>29</v>
      </c>
      <c r="S20" s="3" t="s">
        <v>46</v>
      </c>
      <c r="T20" s="14">
        <f t="shared" si="2"/>
        <v>12388.25</v>
      </c>
      <c r="U20" s="14">
        <v>6</v>
      </c>
      <c r="V20" s="31">
        <f t="shared" si="5"/>
        <v>165.51724137931035</v>
      </c>
      <c r="W20" s="12"/>
      <c r="X20" s="12"/>
      <c r="Y20" s="12"/>
    </row>
    <row r="21" spans="1:25" ht="15.75" x14ac:dyDescent="0.25">
      <c r="A21" s="9" t="s">
        <v>30</v>
      </c>
      <c r="B21" s="3" t="s">
        <v>46</v>
      </c>
      <c r="C21" s="14">
        <v>13459.5</v>
      </c>
      <c r="D21" s="14">
        <f t="shared" si="0"/>
        <v>13459.5</v>
      </c>
      <c r="E21" s="31">
        <f t="shared" si="3"/>
        <v>9.1619858082647117</v>
      </c>
      <c r="I21" s="9" t="s">
        <v>30</v>
      </c>
      <c r="J21" s="3" t="s">
        <v>46</v>
      </c>
      <c r="K21" s="14">
        <f t="shared" si="1"/>
        <v>13459.5</v>
      </c>
      <c r="L21" s="14">
        <v>4</v>
      </c>
      <c r="M21" s="31">
        <f t="shared" si="4"/>
        <v>175.82417582417582</v>
      </c>
      <c r="N21" s="12"/>
      <c r="O21" s="12"/>
      <c r="P21" s="12"/>
      <c r="R21" s="9" t="s">
        <v>30</v>
      </c>
      <c r="S21" s="3" t="s">
        <v>46</v>
      </c>
      <c r="T21" s="14">
        <f t="shared" si="2"/>
        <v>13459.5</v>
      </c>
      <c r="U21" s="14">
        <v>6</v>
      </c>
      <c r="V21" s="31">
        <f t="shared" si="5"/>
        <v>165.51724137931035</v>
      </c>
      <c r="W21" s="12"/>
      <c r="X21" s="12"/>
      <c r="Y21" s="12"/>
    </row>
    <row r="22" spans="1:25" ht="15.75" x14ac:dyDescent="0.25">
      <c r="A22" s="9" t="s">
        <v>32</v>
      </c>
      <c r="B22" s="3" t="s">
        <v>46</v>
      </c>
      <c r="C22" s="14">
        <v>12388.25</v>
      </c>
      <c r="D22" s="14">
        <f t="shared" si="0"/>
        <v>12388.25</v>
      </c>
      <c r="E22" s="31">
        <f t="shared" si="3"/>
        <v>8.4327776432434565</v>
      </c>
      <c r="I22" s="9" t="s">
        <v>32</v>
      </c>
      <c r="J22" s="3" t="s">
        <v>46</v>
      </c>
      <c r="K22" s="14">
        <f t="shared" si="1"/>
        <v>12388.25</v>
      </c>
      <c r="L22" s="14">
        <v>4</v>
      </c>
      <c r="M22" s="31">
        <f t="shared" si="4"/>
        <v>175.82417582417582</v>
      </c>
      <c r="N22" s="12"/>
      <c r="O22" s="12"/>
      <c r="P22" s="12"/>
      <c r="R22" s="9" t="s">
        <v>32</v>
      </c>
      <c r="S22" s="3" t="s">
        <v>46</v>
      </c>
      <c r="T22" s="14">
        <f t="shared" si="2"/>
        <v>12388.25</v>
      </c>
      <c r="U22" s="14">
        <v>6</v>
      </c>
      <c r="V22" s="31">
        <f t="shared" si="5"/>
        <v>165.51724137931035</v>
      </c>
      <c r="W22" s="12"/>
      <c r="X22" s="12"/>
      <c r="Y22" s="12"/>
    </row>
    <row r="23" spans="1:25" ht="15.75" x14ac:dyDescent="0.25">
      <c r="A23" s="9" t="s">
        <v>64</v>
      </c>
      <c r="B23" s="3" t="s">
        <v>46</v>
      </c>
      <c r="C23" s="30">
        <v>8960</v>
      </c>
      <c r="D23" s="14">
        <f t="shared" si="0"/>
        <v>8960</v>
      </c>
      <c r="E23" s="31">
        <f t="shared" si="3"/>
        <v>6.0991413382407824</v>
      </c>
      <c r="I23" s="9" t="s">
        <v>64</v>
      </c>
      <c r="J23" s="3" t="s">
        <v>46</v>
      </c>
      <c r="K23" s="14">
        <f t="shared" si="1"/>
        <v>8960</v>
      </c>
      <c r="L23" s="14">
        <v>3</v>
      </c>
      <c r="M23" s="31">
        <f t="shared" si="4"/>
        <v>131.86813186813185</v>
      </c>
      <c r="N23" s="12"/>
      <c r="O23" s="12"/>
      <c r="P23" s="12"/>
      <c r="R23" s="9" t="s">
        <v>64</v>
      </c>
      <c r="S23" s="3" t="s">
        <v>46</v>
      </c>
      <c r="T23" s="14">
        <f t="shared" si="2"/>
        <v>8960</v>
      </c>
      <c r="U23" s="14">
        <v>4</v>
      </c>
      <c r="V23" s="31">
        <f t="shared" si="5"/>
        <v>110.34482758620689</v>
      </c>
      <c r="W23" s="12"/>
      <c r="X23" s="12"/>
      <c r="Y23" s="12"/>
    </row>
    <row r="24" spans="1:25" ht="15.75" x14ac:dyDescent="0.25">
      <c r="A24" s="9" t="s">
        <v>41</v>
      </c>
      <c r="B24" s="3" t="s">
        <v>46</v>
      </c>
      <c r="C24" s="30">
        <v>9603</v>
      </c>
      <c r="D24" s="14">
        <f t="shared" si="0"/>
        <v>9603</v>
      </c>
      <c r="E24" s="31">
        <f t="shared" si="3"/>
        <v>6.5368364141881958</v>
      </c>
      <c r="I24" s="9" t="s">
        <v>41</v>
      </c>
      <c r="J24" s="3" t="s">
        <v>46</v>
      </c>
      <c r="K24" s="14">
        <f t="shared" si="1"/>
        <v>9603</v>
      </c>
      <c r="L24" s="14">
        <v>3</v>
      </c>
      <c r="M24" s="31">
        <f t="shared" si="4"/>
        <v>131.86813186813185</v>
      </c>
      <c r="N24" s="12"/>
      <c r="O24" s="12"/>
      <c r="P24" s="12"/>
      <c r="R24" s="9" t="s">
        <v>41</v>
      </c>
      <c r="S24" s="3" t="s">
        <v>46</v>
      </c>
      <c r="T24" s="14">
        <f t="shared" si="2"/>
        <v>9603</v>
      </c>
      <c r="U24" s="14">
        <v>5</v>
      </c>
      <c r="V24" s="31">
        <f t="shared" si="5"/>
        <v>137.93103448275861</v>
      </c>
      <c r="W24" s="12"/>
      <c r="X24" s="12"/>
      <c r="Y24" s="12"/>
    </row>
    <row r="25" spans="1:25" ht="15.75" x14ac:dyDescent="0.25">
      <c r="A25" s="9" t="s">
        <v>39</v>
      </c>
      <c r="B25" s="3" t="s">
        <v>46</v>
      </c>
      <c r="C25" s="14">
        <v>8960.25</v>
      </c>
      <c r="D25" s="14">
        <f t="shared" si="0"/>
        <v>8960.25</v>
      </c>
      <c r="E25" s="31">
        <f t="shared" si="3"/>
        <v>6.0993115151754429</v>
      </c>
      <c r="I25" s="9" t="s">
        <v>39</v>
      </c>
      <c r="J25" s="3" t="s">
        <v>46</v>
      </c>
      <c r="K25" s="14">
        <f t="shared" si="1"/>
        <v>8960.25</v>
      </c>
      <c r="L25" s="14">
        <v>3</v>
      </c>
      <c r="M25" s="31">
        <f t="shared" si="4"/>
        <v>131.86813186813185</v>
      </c>
      <c r="N25" s="12"/>
      <c r="O25" s="12"/>
      <c r="P25" s="12"/>
      <c r="R25" s="9" t="s">
        <v>39</v>
      </c>
      <c r="S25" s="3" t="s">
        <v>46</v>
      </c>
      <c r="T25" s="14">
        <f t="shared" si="2"/>
        <v>8960.25</v>
      </c>
      <c r="U25" s="14">
        <v>4</v>
      </c>
      <c r="V25" s="31">
        <f t="shared" si="5"/>
        <v>110.34482758620689</v>
      </c>
      <c r="W25" s="12"/>
      <c r="X25" s="12"/>
      <c r="Y25" s="12"/>
    </row>
    <row r="26" spans="1:25" ht="15.75" x14ac:dyDescent="0.25">
      <c r="A26" s="9" t="s">
        <v>38</v>
      </c>
      <c r="B26" s="3" t="s">
        <v>46</v>
      </c>
      <c r="C26" s="30">
        <v>9603</v>
      </c>
      <c r="D26" s="14">
        <f t="shared" si="0"/>
        <v>9603</v>
      </c>
      <c r="E26" s="31">
        <f t="shared" si="3"/>
        <v>6.5368364141881958</v>
      </c>
      <c r="I26" s="9" t="s">
        <v>38</v>
      </c>
      <c r="J26" s="3" t="s">
        <v>46</v>
      </c>
      <c r="K26" s="14">
        <f t="shared" si="1"/>
        <v>9603</v>
      </c>
      <c r="L26" s="14">
        <v>3</v>
      </c>
      <c r="M26" s="31">
        <f t="shared" si="4"/>
        <v>131.86813186813185</v>
      </c>
      <c r="N26" s="12"/>
      <c r="O26" s="12"/>
      <c r="P26" s="12"/>
      <c r="R26" s="9" t="s">
        <v>38</v>
      </c>
      <c r="S26" s="3" t="s">
        <v>46</v>
      </c>
      <c r="T26" s="14">
        <f t="shared" si="2"/>
        <v>9603</v>
      </c>
      <c r="U26" s="14">
        <v>5</v>
      </c>
      <c r="V26" s="31">
        <f t="shared" si="5"/>
        <v>137.93103448275861</v>
      </c>
      <c r="W26" s="12"/>
      <c r="X26" s="12"/>
      <c r="Y26" s="12"/>
    </row>
    <row r="27" spans="1:25" ht="15.75" x14ac:dyDescent="0.25">
      <c r="A27" s="9"/>
      <c r="B27" s="3"/>
      <c r="C27" s="14"/>
      <c r="D27" s="14"/>
      <c r="E27" s="31"/>
      <c r="I27" s="9"/>
      <c r="J27" s="3"/>
      <c r="K27" s="14">
        <f t="shared" si="1"/>
        <v>0</v>
      </c>
      <c r="L27" s="14"/>
      <c r="M27" s="31"/>
      <c r="N27" s="12"/>
      <c r="O27" s="12"/>
      <c r="P27" s="12"/>
      <c r="R27" s="9"/>
      <c r="S27" s="3"/>
      <c r="T27" s="14">
        <f t="shared" si="2"/>
        <v>0</v>
      </c>
      <c r="U27" s="14"/>
      <c r="V27" s="31"/>
      <c r="W27" s="12"/>
      <c r="X27" s="12"/>
      <c r="Y27" s="12"/>
    </row>
    <row r="28" spans="1:25" ht="15.75" x14ac:dyDescent="0.25">
      <c r="A28" s="9"/>
      <c r="B28" s="3"/>
      <c r="C28" s="14"/>
      <c r="D28" s="14"/>
      <c r="E28" s="31"/>
      <c r="I28" s="9"/>
      <c r="J28" s="3"/>
      <c r="K28" s="14">
        <f t="shared" si="1"/>
        <v>0</v>
      </c>
      <c r="L28" s="14"/>
      <c r="M28" s="31"/>
      <c r="N28" s="12"/>
      <c r="O28" s="12"/>
      <c r="P28" s="12"/>
      <c r="R28" s="9"/>
      <c r="S28" s="3"/>
      <c r="T28" s="14">
        <f t="shared" si="2"/>
        <v>0</v>
      </c>
      <c r="U28" s="14"/>
      <c r="V28" s="31"/>
      <c r="W28" s="12"/>
      <c r="X28" s="12"/>
      <c r="Y28" s="12"/>
    </row>
    <row r="29" spans="1:25" ht="15.75" x14ac:dyDescent="0.25">
      <c r="A29" s="9" t="s">
        <v>70</v>
      </c>
      <c r="B29" s="3" t="s">
        <v>55</v>
      </c>
      <c r="C29" s="14">
        <v>3771</v>
      </c>
      <c r="D29" s="14">
        <f t="shared" si="0"/>
        <v>3771</v>
      </c>
      <c r="E29" s="31">
        <f t="shared" si="3"/>
        <v>2.5669488824225435</v>
      </c>
      <c r="I29" s="9" t="s">
        <v>70</v>
      </c>
      <c r="J29" s="3" t="s">
        <v>55</v>
      </c>
      <c r="K29" s="14">
        <f t="shared" si="1"/>
        <v>3771</v>
      </c>
      <c r="L29" s="14">
        <v>1</v>
      </c>
      <c r="M29" s="31">
        <f t="shared" ref="M29:M38" si="6">$P$6*L29</f>
        <v>43.956043956043956</v>
      </c>
      <c r="N29" s="12"/>
      <c r="O29" s="12"/>
      <c r="P29" s="12"/>
      <c r="R29" s="9" t="s">
        <v>70</v>
      </c>
      <c r="S29" s="3" t="s">
        <v>55</v>
      </c>
      <c r="T29" s="14">
        <f t="shared" si="2"/>
        <v>3771</v>
      </c>
      <c r="U29" s="14">
        <v>2</v>
      </c>
      <c r="V29" s="31">
        <f t="shared" ref="V29:V38" si="7">$Y$6*U29</f>
        <v>55.172413793103445</v>
      </c>
      <c r="W29" s="12"/>
      <c r="X29" s="12"/>
      <c r="Y29" s="12"/>
    </row>
    <row r="30" spans="1:25" ht="15.75" x14ac:dyDescent="0.25">
      <c r="A30" s="9" t="s">
        <v>78</v>
      </c>
      <c r="B30" s="3" t="s">
        <v>55</v>
      </c>
      <c r="C30" s="14">
        <v>3016</v>
      </c>
      <c r="D30" s="14">
        <f t="shared" si="0"/>
        <v>3016</v>
      </c>
      <c r="E30" s="31">
        <f t="shared" si="3"/>
        <v>2.0530145397471204</v>
      </c>
      <c r="I30" s="9" t="s">
        <v>78</v>
      </c>
      <c r="J30" s="3" t="s">
        <v>55</v>
      </c>
      <c r="K30" s="14">
        <f t="shared" si="1"/>
        <v>3016</v>
      </c>
      <c r="L30" s="14">
        <v>1</v>
      </c>
      <c r="M30" s="31">
        <f t="shared" si="6"/>
        <v>43.956043956043956</v>
      </c>
      <c r="N30" s="12"/>
      <c r="O30" s="12"/>
      <c r="P30" s="12"/>
      <c r="R30" s="9" t="s">
        <v>78</v>
      </c>
      <c r="S30" s="3" t="s">
        <v>55</v>
      </c>
      <c r="T30" s="14">
        <f t="shared" si="2"/>
        <v>3016</v>
      </c>
      <c r="U30" s="14">
        <v>2</v>
      </c>
      <c r="V30" s="31">
        <f t="shared" si="7"/>
        <v>55.172413793103445</v>
      </c>
      <c r="W30" s="12"/>
      <c r="X30" s="12"/>
      <c r="Y30" s="12"/>
    </row>
    <row r="31" spans="1:25" ht="15.75" x14ac:dyDescent="0.25">
      <c r="A31" s="9" t="s">
        <v>77</v>
      </c>
      <c r="B31" s="3" t="s">
        <v>55</v>
      </c>
      <c r="C31" s="14">
        <v>3771</v>
      </c>
      <c r="D31" s="14">
        <f t="shared" si="0"/>
        <v>3771</v>
      </c>
      <c r="E31" s="31">
        <f t="shared" si="3"/>
        <v>2.5669488824225435</v>
      </c>
      <c r="I31" s="9" t="s">
        <v>77</v>
      </c>
      <c r="J31" s="3" t="s">
        <v>55</v>
      </c>
      <c r="K31" s="14">
        <f t="shared" si="1"/>
        <v>3771</v>
      </c>
      <c r="L31" s="14">
        <v>1</v>
      </c>
      <c r="M31" s="31">
        <f t="shared" si="6"/>
        <v>43.956043956043956</v>
      </c>
      <c r="N31" s="12"/>
      <c r="O31" s="12"/>
      <c r="P31" s="12"/>
      <c r="R31" s="9" t="s">
        <v>77</v>
      </c>
      <c r="S31" s="3" t="s">
        <v>55</v>
      </c>
      <c r="T31" s="14">
        <f t="shared" si="2"/>
        <v>3771</v>
      </c>
      <c r="U31" s="14">
        <v>2</v>
      </c>
      <c r="V31" s="31">
        <f t="shared" si="7"/>
        <v>55.172413793103445</v>
      </c>
      <c r="W31" s="12"/>
      <c r="X31" s="12"/>
      <c r="Y31" s="12"/>
    </row>
    <row r="32" spans="1:25" ht="15.75" x14ac:dyDescent="0.25">
      <c r="A32" s="9" t="s">
        <v>65</v>
      </c>
      <c r="B32" s="3" t="s">
        <v>55</v>
      </c>
      <c r="C32" s="14">
        <v>3016</v>
      </c>
      <c r="D32" s="14">
        <f t="shared" si="0"/>
        <v>3016</v>
      </c>
      <c r="E32" s="31">
        <f t="shared" si="3"/>
        <v>2.0530145397471204</v>
      </c>
      <c r="I32" s="9" t="s">
        <v>65</v>
      </c>
      <c r="J32" s="3" t="s">
        <v>55</v>
      </c>
      <c r="K32" s="14">
        <f t="shared" si="1"/>
        <v>3016</v>
      </c>
      <c r="L32" s="14">
        <v>1</v>
      </c>
      <c r="M32" s="31">
        <f t="shared" si="6"/>
        <v>43.956043956043956</v>
      </c>
      <c r="N32" s="12"/>
      <c r="O32" s="12"/>
      <c r="P32" s="12"/>
      <c r="R32" s="9" t="s">
        <v>65</v>
      </c>
      <c r="S32" s="3" t="s">
        <v>55</v>
      </c>
      <c r="T32" s="14">
        <f t="shared" si="2"/>
        <v>3016</v>
      </c>
      <c r="U32" s="14">
        <v>2</v>
      </c>
      <c r="V32" s="31">
        <f t="shared" si="7"/>
        <v>55.172413793103445</v>
      </c>
      <c r="W32" s="12"/>
      <c r="X32" s="12"/>
      <c r="Y32" s="12"/>
    </row>
    <row r="33" spans="1:25" ht="15.75" x14ac:dyDescent="0.25">
      <c r="A33" s="9" t="s">
        <v>28</v>
      </c>
      <c r="B33" s="3" t="s">
        <v>55</v>
      </c>
      <c r="C33" s="14">
        <v>3016</v>
      </c>
      <c r="D33" s="14">
        <f t="shared" si="0"/>
        <v>3016</v>
      </c>
      <c r="E33" s="31">
        <f t="shared" si="3"/>
        <v>2.0530145397471204</v>
      </c>
      <c r="I33" s="9" t="s">
        <v>28</v>
      </c>
      <c r="J33" s="3" t="s">
        <v>55</v>
      </c>
      <c r="K33" s="14">
        <f t="shared" si="1"/>
        <v>3016</v>
      </c>
      <c r="L33" s="14">
        <v>1</v>
      </c>
      <c r="M33" s="31">
        <f t="shared" si="6"/>
        <v>43.956043956043956</v>
      </c>
      <c r="N33" s="12"/>
      <c r="O33" s="12"/>
      <c r="P33" s="12"/>
      <c r="R33" s="9" t="s">
        <v>28</v>
      </c>
      <c r="S33" s="3" t="s">
        <v>55</v>
      </c>
      <c r="T33" s="14">
        <f t="shared" si="2"/>
        <v>3016</v>
      </c>
      <c r="U33" s="14">
        <v>2</v>
      </c>
      <c r="V33" s="31">
        <f t="shared" si="7"/>
        <v>55.172413793103445</v>
      </c>
      <c r="W33" s="12"/>
      <c r="X33" s="12"/>
      <c r="Y33" s="12"/>
    </row>
    <row r="34" spans="1:25" ht="15.75" x14ac:dyDescent="0.25">
      <c r="A34" s="9" t="s">
        <v>68</v>
      </c>
      <c r="B34" s="3" t="s">
        <v>55</v>
      </c>
      <c r="C34" s="14">
        <v>4902.3</v>
      </c>
      <c r="D34" s="14">
        <f t="shared" si="0"/>
        <v>4902.3</v>
      </c>
      <c r="E34" s="31">
        <f t="shared" si="3"/>
        <v>3.3370335471493067</v>
      </c>
      <c r="I34" s="9" t="s">
        <v>68</v>
      </c>
      <c r="J34" s="3" t="s">
        <v>55</v>
      </c>
      <c r="K34" s="14">
        <f t="shared" si="1"/>
        <v>4902.3</v>
      </c>
      <c r="L34" s="14">
        <v>2</v>
      </c>
      <c r="M34" s="31">
        <f t="shared" si="6"/>
        <v>87.912087912087912</v>
      </c>
      <c r="N34" s="12"/>
      <c r="O34" s="12"/>
      <c r="P34" s="12"/>
      <c r="R34" s="9" t="s">
        <v>68</v>
      </c>
      <c r="S34" s="3" t="s">
        <v>55</v>
      </c>
      <c r="T34" s="14">
        <f t="shared" si="2"/>
        <v>4902.3</v>
      </c>
      <c r="U34" s="14">
        <v>3</v>
      </c>
      <c r="V34" s="31">
        <f t="shared" si="7"/>
        <v>82.758620689655174</v>
      </c>
      <c r="W34" s="12"/>
      <c r="X34" s="12"/>
      <c r="Y34" s="12"/>
    </row>
    <row r="35" spans="1:25" ht="15.75" x14ac:dyDescent="0.25">
      <c r="A35" s="9" t="s">
        <v>19</v>
      </c>
      <c r="B35" s="3" t="s">
        <v>55</v>
      </c>
      <c r="C35" s="14">
        <v>3771</v>
      </c>
      <c r="D35" s="14">
        <f t="shared" si="0"/>
        <v>3771</v>
      </c>
      <c r="E35" s="31">
        <f t="shared" si="3"/>
        <v>2.5669488824225435</v>
      </c>
      <c r="I35" s="9" t="s">
        <v>19</v>
      </c>
      <c r="J35" s="3" t="s">
        <v>55</v>
      </c>
      <c r="K35" s="14">
        <f t="shared" si="1"/>
        <v>3771</v>
      </c>
      <c r="L35" s="14">
        <v>1</v>
      </c>
      <c r="M35" s="31">
        <f t="shared" si="6"/>
        <v>43.956043956043956</v>
      </c>
      <c r="N35" s="12"/>
      <c r="O35" s="12"/>
      <c r="P35" s="12"/>
      <c r="R35" s="9" t="s">
        <v>19</v>
      </c>
      <c r="S35" s="3" t="s">
        <v>55</v>
      </c>
      <c r="T35" s="14">
        <f t="shared" si="2"/>
        <v>3771</v>
      </c>
      <c r="U35" s="14">
        <v>2</v>
      </c>
      <c r="V35" s="31">
        <f t="shared" si="7"/>
        <v>55.172413793103445</v>
      </c>
      <c r="W35" s="12"/>
      <c r="X35" s="12"/>
      <c r="Y35" s="12"/>
    </row>
    <row r="36" spans="1:25" ht="15.75" x14ac:dyDescent="0.25">
      <c r="A36" s="9" t="s">
        <v>18</v>
      </c>
      <c r="B36" s="3" t="s">
        <v>55</v>
      </c>
      <c r="C36" s="14">
        <v>3394</v>
      </c>
      <c r="D36" s="14">
        <f t="shared" si="0"/>
        <v>3394</v>
      </c>
      <c r="E36" s="31">
        <f t="shared" si="3"/>
        <v>2.3103220649541534</v>
      </c>
      <c r="I36" s="9" t="s">
        <v>18</v>
      </c>
      <c r="J36" s="3" t="s">
        <v>55</v>
      </c>
      <c r="K36" s="14">
        <f t="shared" si="1"/>
        <v>3394</v>
      </c>
      <c r="L36" s="14">
        <v>1</v>
      </c>
      <c r="M36" s="31">
        <f t="shared" si="6"/>
        <v>43.956043956043956</v>
      </c>
      <c r="N36" s="12"/>
      <c r="O36" s="12"/>
      <c r="P36" s="12"/>
      <c r="R36" s="9" t="s">
        <v>18</v>
      </c>
      <c r="S36" s="3" t="s">
        <v>55</v>
      </c>
      <c r="T36" s="14">
        <f t="shared" si="2"/>
        <v>3394</v>
      </c>
      <c r="U36" s="14">
        <v>2</v>
      </c>
      <c r="V36" s="31">
        <f t="shared" si="7"/>
        <v>55.172413793103445</v>
      </c>
      <c r="W36" s="12"/>
      <c r="X36" s="12"/>
      <c r="Y36" s="12"/>
    </row>
    <row r="37" spans="1:25" ht="15.75" x14ac:dyDescent="0.25">
      <c r="A37" s="9" t="s">
        <v>76</v>
      </c>
      <c r="B37" s="3" t="s">
        <v>55</v>
      </c>
      <c r="C37" s="14">
        <v>3394</v>
      </c>
      <c r="D37" s="14">
        <f t="shared" si="0"/>
        <v>3394</v>
      </c>
      <c r="E37" s="31">
        <f t="shared" si="3"/>
        <v>2.3103220649541534</v>
      </c>
      <c r="I37" s="9" t="s">
        <v>76</v>
      </c>
      <c r="J37" s="3" t="s">
        <v>55</v>
      </c>
      <c r="K37" s="14">
        <f t="shared" si="1"/>
        <v>3394</v>
      </c>
      <c r="L37" s="14">
        <v>1</v>
      </c>
      <c r="M37" s="31">
        <f t="shared" si="6"/>
        <v>43.956043956043956</v>
      </c>
      <c r="N37" s="12"/>
      <c r="O37" s="12"/>
      <c r="P37" s="12"/>
      <c r="R37" s="9" t="s">
        <v>76</v>
      </c>
      <c r="S37" s="3" t="s">
        <v>55</v>
      </c>
      <c r="T37" s="14">
        <f t="shared" si="2"/>
        <v>3394</v>
      </c>
      <c r="U37" s="14">
        <v>2</v>
      </c>
      <c r="V37" s="31">
        <f t="shared" si="7"/>
        <v>55.172413793103445</v>
      </c>
      <c r="W37" s="12"/>
      <c r="X37" s="12"/>
      <c r="Y37" s="12"/>
    </row>
    <row r="38" spans="1:25" ht="15.75" x14ac:dyDescent="0.25">
      <c r="A38" s="9" t="s">
        <v>67</v>
      </c>
      <c r="B38" s="3" t="s">
        <v>55</v>
      </c>
      <c r="C38" s="14">
        <v>3394</v>
      </c>
      <c r="D38" s="14">
        <f t="shared" si="0"/>
        <v>3394</v>
      </c>
      <c r="E38" s="31">
        <f t="shared" si="3"/>
        <v>2.3103220649541534</v>
      </c>
      <c r="I38" s="9" t="s">
        <v>67</v>
      </c>
      <c r="J38" s="3" t="s">
        <v>55</v>
      </c>
      <c r="K38" s="14">
        <f t="shared" si="1"/>
        <v>3394</v>
      </c>
      <c r="L38" s="14">
        <v>1</v>
      </c>
      <c r="M38" s="31">
        <f t="shared" si="6"/>
        <v>43.956043956043956</v>
      </c>
      <c r="N38" s="12"/>
      <c r="O38" s="12"/>
      <c r="P38" s="12"/>
      <c r="R38" s="9" t="s">
        <v>67</v>
      </c>
      <c r="S38" s="3" t="s">
        <v>55</v>
      </c>
      <c r="T38" s="14">
        <f t="shared" si="2"/>
        <v>3394</v>
      </c>
      <c r="U38" s="14">
        <v>2</v>
      </c>
      <c r="V38" s="31">
        <f t="shared" si="7"/>
        <v>55.172413793103445</v>
      </c>
      <c r="W38" s="12"/>
      <c r="X38" s="12"/>
      <c r="Y38" s="12"/>
    </row>
    <row r="39" spans="1:25" ht="15.75" x14ac:dyDescent="0.25">
      <c r="A39" s="9"/>
      <c r="B39" s="3"/>
      <c r="C39" s="14"/>
      <c r="D39" s="14"/>
      <c r="E39" s="32"/>
      <c r="I39" s="9"/>
      <c r="J39" s="3"/>
      <c r="K39" s="14">
        <f t="shared" si="1"/>
        <v>0</v>
      </c>
      <c r="L39" s="14"/>
      <c r="M39" s="31"/>
      <c r="N39" s="12"/>
      <c r="O39" s="12"/>
      <c r="P39" s="12"/>
      <c r="R39" s="9"/>
      <c r="S39" s="3"/>
      <c r="T39" s="14">
        <f t="shared" si="2"/>
        <v>0</v>
      </c>
      <c r="U39" s="14"/>
      <c r="V39" s="31"/>
      <c r="W39" s="12"/>
      <c r="X39" s="12"/>
      <c r="Y39" s="12"/>
    </row>
    <row r="40" spans="1:25" ht="15.75" x14ac:dyDescent="0.25">
      <c r="A40" s="9"/>
      <c r="B40" s="3"/>
      <c r="C40" s="14"/>
      <c r="D40" s="14"/>
      <c r="E40" s="32"/>
      <c r="I40" s="9"/>
      <c r="J40" s="3"/>
      <c r="K40" s="14">
        <f t="shared" si="1"/>
        <v>0</v>
      </c>
      <c r="L40" s="14"/>
      <c r="M40" s="31"/>
      <c r="N40" s="12"/>
      <c r="O40" s="12"/>
      <c r="P40" s="12"/>
      <c r="R40" s="9"/>
      <c r="S40" s="3"/>
      <c r="T40" s="14">
        <f t="shared" si="2"/>
        <v>0</v>
      </c>
      <c r="U40" s="14"/>
      <c r="V40" s="31"/>
      <c r="W40" s="12"/>
      <c r="X40" s="12"/>
      <c r="Y40" s="12"/>
    </row>
    <row r="41" spans="1:25" ht="15.75" x14ac:dyDescent="0.25">
      <c r="A41" s="9" t="s">
        <v>21</v>
      </c>
      <c r="B41" s="3" t="s">
        <v>47</v>
      </c>
      <c r="C41" s="14">
        <v>3250</v>
      </c>
      <c r="D41" s="14">
        <f t="shared" si="0"/>
        <v>3250</v>
      </c>
      <c r="E41" s="32">
        <f t="shared" si="3"/>
        <v>2.2123001505895696</v>
      </c>
      <c r="I41" s="9" t="s">
        <v>21</v>
      </c>
      <c r="J41" s="3" t="s">
        <v>47</v>
      </c>
      <c r="K41" s="14">
        <f t="shared" si="1"/>
        <v>3250</v>
      </c>
      <c r="L41" s="14">
        <v>1</v>
      </c>
      <c r="M41" s="31">
        <f t="shared" ref="M41:M47" si="8">$P$6*L41</f>
        <v>43.956043956043956</v>
      </c>
      <c r="N41" s="12"/>
      <c r="O41" s="12"/>
      <c r="P41" s="12"/>
      <c r="R41" s="9" t="s">
        <v>21</v>
      </c>
      <c r="S41" s="3" t="s">
        <v>47</v>
      </c>
      <c r="T41" s="14">
        <f t="shared" si="2"/>
        <v>3250</v>
      </c>
      <c r="U41" s="14">
        <v>2</v>
      </c>
      <c r="V41" s="31">
        <f t="shared" ref="V41:V47" si="9">$Y$6*U41</f>
        <v>55.172413793103445</v>
      </c>
      <c r="W41" s="12"/>
      <c r="X41" s="12"/>
      <c r="Y41" s="12"/>
    </row>
    <row r="42" spans="1:25" ht="15.75" x14ac:dyDescent="0.25">
      <c r="A42" s="9" t="s">
        <v>23</v>
      </c>
      <c r="B42" s="3" t="s">
        <v>47</v>
      </c>
      <c r="C42" s="14">
        <v>3250</v>
      </c>
      <c r="D42" s="14">
        <f t="shared" si="0"/>
        <v>3250</v>
      </c>
      <c r="E42" s="32">
        <f t="shared" si="3"/>
        <v>2.2123001505895696</v>
      </c>
      <c r="I42" s="9" t="s">
        <v>23</v>
      </c>
      <c r="J42" s="3" t="s">
        <v>47</v>
      </c>
      <c r="K42" s="14">
        <f t="shared" si="1"/>
        <v>3250</v>
      </c>
      <c r="L42" s="14">
        <v>1</v>
      </c>
      <c r="M42" s="31">
        <f t="shared" si="8"/>
        <v>43.956043956043956</v>
      </c>
      <c r="N42" s="12"/>
      <c r="O42" s="12"/>
      <c r="P42" s="12"/>
      <c r="R42" s="9" t="s">
        <v>23</v>
      </c>
      <c r="S42" s="3" t="s">
        <v>47</v>
      </c>
      <c r="T42" s="14">
        <f t="shared" si="2"/>
        <v>3250</v>
      </c>
      <c r="U42" s="14">
        <v>2</v>
      </c>
      <c r="V42" s="31">
        <f t="shared" si="9"/>
        <v>55.172413793103445</v>
      </c>
      <c r="W42" s="12"/>
      <c r="X42" s="12"/>
      <c r="Y42" s="12"/>
    </row>
    <row r="43" spans="1:25" ht="15.75" x14ac:dyDescent="0.25">
      <c r="A43" s="9" t="s">
        <v>26</v>
      </c>
      <c r="B43" s="3" t="s">
        <v>47</v>
      </c>
      <c r="C43" s="14">
        <v>3625</v>
      </c>
      <c r="D43" s="14">
        <f t="shared" si="0"/>
        <v>3625</v>
      </c>
      <c r="E43" s="32">
        <f t="shared" si="3"/>
        <v>2.4675655525806737</v>
      </c>
      <c r="I43" s="9" t="s">
        <v>26</v>
      </c>
      <c r="J43" s="3" t="s">
        <v>47</v>
      </c>
      <c r="K43" s="14">
        <f t="shared" si="1"/>
        <v>3625</v>
      </c>
      <c r="L43" s="14">
        <v>1</v>
      </c>
      <c r="M43" s="31">
        <f t="shared" si="8"/>
        <v>43.956043956043956</v>
      </c>
      <c r="N43" s="12"/>
      <c r="O43" s="12"/>
      <c r="P43" s="12"/>
      <c r="R43" s="9" t="s">
        <v>26</v>
      </c>
      <c r="S43" s="3" t="s">
        <v>47</v>
      </c>
      <c r="T43" s="14">
        <f t="shared" si="2"/>
        <v>3625</v>
      </c>
      <c r="U43" s="14">
        <v>2</v>
      </c>
      <c r="V43" s="31">
        <f t="shared" si="9"/>
        <v>55.172413793103445</v>
      </c>
      <c r="W43" s="12"/>
      <c r="X43" s="12"/>
      <c r="Y43" s="12"/>
    </row>
    <row r="44" spans="1:25" ht="15.75" x14ac:dyDescent="0.25">
      <c r="A44" s="9" t="s">
        <v>27</v>
      </c>
      <c r="B44" s="3" t="s">
        <v>47</v>
      </c>
      <c r="C44" s="14">
        <v>2500</v>
      </c>
      <c r="D44" s="14">
        <f t="shared" si="0"/>
        <v>2500</v>
      </c>
      <c r="E44" s="32">
        <f t="shared" si="3"/>
        <v>1.7017693466073611</v>
      </c>
      <c r="I44" s="9" t="s">
        <v>27</v>
      </c>
      <c r="J44" s="3" t="s">
        <v>47</v>
      </c>
      <c r="K44" s="14">
        <f t="shared" si="1"/>
        <v>2500</v>
      </c>
      <c r="L44" s="14">
        <v>1</v>
      </c>
      <c r="M44" s="31">
        <f t="shared" si="8"/>
        <v>43.956043956043956</v>
      </c>
      <c r="N44" s="12"/>
      <c r="O44" s="12"/>
      <c r="P44" s="12"/>
      <c r="R44" s="9" t="s">
        <v>27</v>
      </c>
      <c r="S44" s="3" t="s">
        <v>47</v>
      </c>
      <c r="T44" s="14">
        <f t="shared" si="2"/>
        <v>2500</v>
      </c>
      <c r="U44" s="14">
        <v>1</v>
      </c>
      <c r="V44" s="31">
        <f t="shared" si="9"/>
        <v>27.586206896551722</v>
      </c>
      <c r="W44" s="12"/>
      <c r="X44" s="12"/>
      <c r="Y44" s="12"/>
    </row>
    <row r="45" spans="1:25" ht="15.75" x14ac:dyDescent="0.25">
      <c r="A45" s="9" t="s">
        <v>25</v>
      </c>
      <c r="B45" s="3" t="s">
        <v>47</v>
      </c>
      <c r="C45" s="14">
        <v>2500</v>
      </c>
      <c r="D45" s="14">
        <f t="shared" si="0"/>
        <v>2500</v>
      </c>
      <c r="E45" s="32">
        <f t="shared" si="3"/>
        <v>1.7017693466073611</v>
      </c>
      <c r="I45" s="9" t="s">
        <v>25</v>
      </c>
      <c r="J45" s="3" t="s">
        <v>47</v>
      </c>
      <c r="K45" s="14">
        <f t="shared" si="1"/>
        <v>2500</v>
      </c>
      <c r="L45" s="14">
        <v>1</v>
      </c>
      <c r="M45" s="31">
        <f t="shared" si="8"/>
        <v>43.956043956043956</v>
      </c>
      <c r="N45" s="12"/>
      <c r="O45" s="12"/>
      <c r="P45" s="12"/>
      <c r="R45" s="9" t="s">
        <v>25</v>
      </c>
      <c r="S45" s="3" t="s">
        <v>47</v>
      </c>
      <c r="T45" s="14">
        <f t="shared" si="2"/>
        <v>2500</v>
      </c>
      <c r="U45" s="14">
        <v>1</v>
      </c>
      <c r="V45" s="31">
        <f t="shared" si="9"/>
        <v>27.586206896551722</v>
      </c>
      <c r="W45" s="12"/>
      <c r="X45" s="12"/>
      <c r="Y45" s="12"/>
    </row>
    <row r="46" spans="1:25" ht="15.75" x14ac:dyDescent="0.25">
      <c r="A46" s="9" t="s">
        <v>22</v>
      </c>
      <c r="B46" s="3" t="s">
        <v>47</v>
      </c>
      <c r="C46" s="14">
        <v>5000</v>
      </c>
      <c r="D46" s="14">
        <f t="shared" si="0"/>
        <v>5000</v>
      </c>
      <c r="E46" s="32">
        <f t="shared" si="3"/>
        <v>3.4035386932147222</v>
      </c>
      <c r="I46" s="9" t="s">
        <v>22</v>
      </c>
      <c r="J46" s="3" t="s">
        <v>47</v>
      </c>
      <c r="K46" s="14">
        <f t="shared" si="1"/>
        <v>5000</v>
      </c>
      <c r="L46" s="14">
        <v>2</v>
      </c>
      <c r="M46" s="31">
        <f t="shared" si="8"/>
        <v>87.912087912087912</v>
      </c>
      <c r="N46" s="12"/>
      <c r="O46" s="12"/>
      <c r="P46" s="12"/>
      <c r="R46" s="9" t="s">
        <v>22</v>
      </c>
      <c r="S46" s="3" t="s">
        <v>47</v>
      </c>
      <c r="T46" s="14">
        <f t="shared" si="2"/>
        <v>5000</v>
      </c>
      <c r="U46" s="14">
        <v>3</v>
      </c>
      <c r="V46" s="31">
        <f t="shared" si="9"/>
        <v>82.758620689655174</v>
      </c>
      <c r="W46" s="12"/>
      <c r="X46" s="12"/>
      <c r="Y46" s="12"/>
    </row>
    <row r="47" spans="1:25" ht="15.75" x14ac:dyDescent="0.25">
      <c r="A47" s="9" t="s">
        <v>24</v>
      </c>
      <c r="B47" s="3" t="s">
        <v>47</v>
      </c>
      <c r="C47" s="14">
        <v>5625</v>
      </c>
      <c r="D47" s="14">
        <f t="shared" si="0"/>
        <v>5625</v>
      </c>
      <c r="E47" s="32">
        <f t="shared" si="3"/>
        <v>3.8289810298665627</v>
      </c>
      <c r="I47" s="9" t="s">
        <v>24</v>
      </c>
      <c r="J47" s="3" t="s">
        <v>47</v>
      </c>
      <c r="K47" s="14">
        <f t="shared" si="1"/>
        <v>5625</v>
      </c>
      <c r="L47" s="14">
        <v>2</v>
      </c>
      <c r="M47" s="31">
        <f t="shared" si="8"/>
        <v>87.912087912087912</v>
      </c>
      <c r="N47" s="12"/>
      <c r="O47" s="12"/>
      <c r="P47" s="12"/>
      <c r="R47" s="9" t="s">
        <v>24</v>
      </c>
      <c r="S47" s="3" t="s">
        <v>47</v>
      </c>
      <c r="T47" s="14">
        <f t="shared" si="2"/>
        <v>5625</v>
      </c>
      <c r="U47" s="14">
        <v>3</v>
      </c>
      <c r="V47" s="31">
        <f t="shared" si="9"/>
        <v>82.758620689655174</v>
      </c>
      <c r="W47" s="12"/>
      <c r="X47" s="12"/>
      <c r="Y47" s="12"/>
    </row>
    <row r="48" spans="1:25" x14ac:dyDescent="0.25">
      <c r="W48" s="12"/>
      <c r="X48" s="12"/>
      <c r="Y48" s="12"/>
    </row>
    <row r="49" spans="23:25" x14ac:dyDescent="0.25">
      <c r="W49" s="12"/>
      <c r="X49" s="12"/>
      <c r="Y49" s="12"/>
    </row>
    <row r="50" spans="23:25" x14ac:dyDescent="0.25">
      <c r="W50" s="12"/>
      <c r="X50" s="12"/>
      <c r="Y50" s="12"/>
    </row>
  </sheetData>
  <autoFilter ref="A3:E3" xr:uid="{00000000-0009-0000-0000-00000A000000}">
    <sortState xmlns:xlrd2="http://schemas.microsoft.com/office/spreadsheetml/2017/richdata2" ref="A2:D36">
      <sortCondition ref="B1"/>
    </sortState>
  </autoFilter>
  <mergeCells count="9">
    <mergeCell ref="R1:Y1"/>
    <mergeCell ref="W4:X4"/>
    <mergeCell ref="W5:X5"/>
    <mergeCell ref="W6:X6"/>
    <mergeCell ref="A1:G1"/>
    <mergeCell ref="I1:P1"/>
    <mergeCell ref="N4:O4"/>
    <mergeCell ref="N5:O5"/>
    <mergeCell ref="N6:O6"/>
  </mergeCells>
  <pageMargins left="0.7" right="0.7" top="0.75" bottom="0.75" header="0.3" footer="0.3"/>
  <pageSetup scale="72" orientation="portrait" horizontalDpi="0" verticalDpi="0" r:id="rId1"/>
  <colBreaks count="2" manualBreakCount="2">
    <brk id="8" max="46" man="1"/>
    <brk id="1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E42"/>
  <sheetViews>
    <sheetView zoomScale="98" zoomScaleNormal="98" workbookViewId="0">
      <selection activeCell="E14" sqref="E14"/>
    </sheetView>
  </sheetViews>
  <sheetFormatPr baseColWidth="10" defaultRowHeight="15.75" x14ac:dyDescent="0.25"/>
  <cols>
    <col min="1" max="1" width="6.5703125" style="17" customWidth="1"/>
    <col min="2" max="2" width="41.5703125" style="18" customWidth="1"/>
    <col min="3" max="3" width="16.42578125" style="17" customWidth="1"/>
    <col min="4" max="4" width="12.28515625" style="17" customWidth="1"/>
    <col min="5" max="5" width="18.7109375" style="17" customWidth="1"/>
  </cols>
  <sheetData>
    <row r="1" spans="1:5" ht="20.25" x14ac:dyDescent="0.25">
      <c r="A1" s="211" t="s">
        <v>59</v>
      </c>
      <c r="B1" s="211"/>
      <c r="C1" s="211"/>
      <c r="D1" s="211"/>
      <c r="E1" s="211"/>
    </row>
    <row r="2" spans="1:5" ht="29.25" customHeight="1" x14ac:dyDescent="0.25">
      <c r="A2" s="212" t="s">
        <v>61</v>
      </c>
      <c r="B2" s="213"/>
      <c r="C2" s="214"/>
      <c r="D2" s="212" t="s">
        <v>60</v>
      </c>
      <c r="E2" s="214"/>
    </row>
    <row r="3" spans="1:5" s="13" customFormat="1" ht="31.5" x14ac:dyDescent="0.25">
      <c r="A3" s="19" t="s">
        <v>57</v>
      </c>
      <c r="B3" s="19" t="s">
        <v>58</v>
      </c>
      <c r="C3" s="19" t="s">
        <v>5</v>
      </c>
      <c r="D3" s="19" t="s">
        <v>54</v>
      </c>
      <c r="E3" s="20" t="s">
        <v>56</v>
      </c>
    </row>
    <row r="4" spans="1:5" x14ac:dyDescent="0.25">
      <c r="A4" s="16">
        <v>1</v>
      </c>
      <c r="B4" s="29" t="s">
        <v>35</v>
      </c>
      <c r="C4" s="16" t="s">
        <v>48</v>
      </c>
      <c r="D4" s="16"/>
      <c r="E4" s="16"/>
    </row>
    <row r="5" spans="1:5" x14ac:dyDescent="0.25">
      <c r="A5" s="16">
        <v>2</v>
      </c>
      <c r="B5" s="29" t="s">
        <v>8</v>
      </c>
      <c r="C5" s="16" t="s">
        <v>48</v>
      </c>
      <c r="D5" s="16"/>
      <c r="E5" s="16">
        <v>1</v>
      </c>
    </row>
    <row r="6" spans="1:5" x14ac:dyDescent="0.25">
      <c r="A6" s="16">
        <v>3</v>
      </c>
      <c r="B6" s="29" t="s">
        <v>36</v>
      </c>
      <c r="C6" s="16" t="s">
        <v>48</v>
      </c>
      <c r="D6" s="16"/>
      <c r="E6" s="16"/>
    </row>
    <row r="7" spans="1:5" x14ac:dyDescent="0.25">
      <c r="A7" s="16">
        <v>4</v>
      </c>
      <c r="B7" s="29" t="s">
        <v>9</v>
      </c>
      <c r="C7" s="16" t="s">
        <v>48</v>
      </c>
      <c r="D7" s="16"/>
      <c r="E7" s="16"/>
    </row>
    <row r="8" spans="1:5" x14ac:dyDescent="0.25">
      <c r="A8" s="16">
        <v>5</v>
      </c>
      <c r="B8" s="29" t="s">
        <v>69</v>
      </c>
      <c r="C8" s="16" t="s">
        <v>48</v>
      </c>
      <c r="D8" s="16"/>
      <c r="E8" s="16">
        <v>1</v>
      </c>
    </row>
    <row r="9" spans="1:5" x14ac:dyDescent="0.25">
      <c r="A9" s="16">
        <v>6</v>
      </c>
      <c r="B9" s="29" t="s">
        <v>33</v>
      </c>
      <c r="C9" s="16" t="s">
        <v>46</v>
      </c>
      <c r="D9" s="16"/>
      <c r="E9" s="16"/>
    </row>
    <row r="10" spans="1:5" x14ac:dyDescent="0.25">
      <c r="A10" s="16">
        <v>7</v>
      </c>
      <c r="B10" s="29" t="s">
        <v>40</v>
      </c>
      <c r="C10" s="16" t="s">
        <v>46</v>
      </c>
      <c r="D10" s="16"/>
      <c r="E10" s="16"/>
    </row>
    <row r="11" spans="1:5" x14ac:dyDescent="0.25">
      <c r="A11" s="16">
        <v>8</v>
      </c>
      <c r="B11" s="29" t="s">
        <v>37</v>
      </c>
      <c r="C11" s="16" t="s">
        <v>46</v>
      </c>
      <c r="D11" s="16"/>
      <c r="E11" s="16"/>
    </row>
    <row r="12" spans="1:5" x14ac:dyDescent="0.25">
      <c r="A12" s="16">
        <v>9</v>
      </c>
      <c r="B12" s="29" t="s">
        <v>42</v>
      </c>
      <c r="C12" s="16" t="s">
        <v>46</v>
      </c>
      <c r="D12" s="16"/>
      <c r="E12" s="16"/>
    </row>
    <row r="13" spans="1:5" x14ac:dyDescent="0.25">
      <c r="A13" s="16">
        <v>10</v>
      </c>
      <c r="B13" s="29" t="s">
        <v>31</v>
      </c>
      <c r="C13" s="16" t="s">
        <v>46</v>
      </c>
      <c r="D13" s="16"/>
      <c r="E13" s="16">
        <v>1</v>
      </c>
    </row>
    <row r="14" spans="1:5" x14ac:dyDescent="0.25">
      <c r="A14" s="16">
        <v>11</v>
      </c>
      <c r="B14" s="29" t="s">
        <v>15</v>
      </c>
      <c r="C14" s="16" t="s">
        <v>46</v>
      </c>
      <c r="D14" s="16"/>
      <c r="E14" s="16"/>
    </row>
    <row r="15" spans="1:5" x14ac:dyDescent="0.25">
      <c r="A15" s="16">
        <v>12</v>
      </c>
      <c r="B15" s="29" t="s">
        <v>14</v>
      </c>
      <c r="C15" s="16" t="s">
        <v>46</v>
      </c>
      <c r="D15" s="16"/>
      <c r="E15" s="16"/>
    </row>
    <row r="16" spans="1:5" x14ac:dyDescent="0.25">
      <c r="A16" s="16">
        <v>13</v>
      </c>
      <c r="B16" s="29" t="s">
        <v>49</v>
      </c>
      <c r="C16" s="16" t="s">
        <v>46</v>
      </c>
      <c r="D16" s="16"/>
      <c r="E16" s="16">
        <v>1</v>
      </c>
    </row>
    <row r="17" spans="1:5" x14ac:dyDescent="0.25">
      <c r="A17" s="16">
        <v>14</v>
      </c>
      <c r="B17" s="29" t="s">
        <v>12</v>
      </c>
      <c r="C17" s="16" t="s">
        <v>46</v>
      </c>
      <c r="D17" s="16"/>
      <c r="E17" s="16"/>
    </row>
    <row r="18" spans="1:5" x14ac:dyDescent="0.25">
      <c r="A18" s="16">
        <v>15</v>
      </c>
      <c r="B18" s="29" t="s">
        <v>29</v>
      </c>
      <c r="C18" s="16" t="s">
        <v>46</v>
      </c>
      <c r="D18" s="16"/>
      <c r="E18" s="16"/>
    </row>
    <row r="19" spans="1:5" x14ac:dyDescent="0.25">
      <c r="A19" s="16">
        <v>16</v>
      </c>
      <c r="B19" s="29" t="s">
        <v>30</v>
      </c>
      <c r="C19" s="16" t="s">
        <v>46</v>
      </c>
      <c r="D19" s="16"/>
      <c r="E19" s="16"/>
    </row>
    <row r="20" spans="1:5" x14ac:dyDescent="0.25">
      <c r="A20" s="16">
        <v>17</v>
      </c>
      <c r="B20" s="29" t="s">
        <v>32</v>
      </c>
      <c r="C20" s="16" t="s">
        <v>46</v>
      </c>
      <c r="D20" s="16"/>
      <c r="E20" s="16"/>
    </row>
    <row r="21" spans="1:5" x14ac:dyDescent="0.25">
      <c r="A21" s="16">
        <v>18</v>
      </c>
      <c r="B21" s="29" t="s">
        <v>64</v>
      </c>
      <c r="C21" s="16" t="s">
        <v>46</v>
      </c>
      <c r="D21" s="16"/>
      <c r="E21" s="16"/>
    </row>
    <row r="22" spans="1:5" x14ac:dyDescent="0.25">
      <c r="A22" s="16">
        <v>19</v>
      </c>
      <c r="B22" s="29" t="s">
        <v>41</v>
      </c>
      <c r="C22" s="16" t="s">
        <v>46</v>
      </c>
      <c r="D22" s="16"/>
      <c r="E22" s="16"/>
    </row>
    <row r="23" spans="1:5" x14ac:dyDescent="0.25">
      <c r="A23" s="16">
        <v>20</v>
      </c>
      <c r="B23" s="29" t="s">
        <v>39</v>
      </c>
      <c r="C23" s="16" t="s">
        <v>46</v>
      </c>
      <c r="D23" s="16"/>
      <c r="E23" s="16">
        <v>1</v>
      </c>
    </row>
    <row r="24" spans="1:5" x14ac:dyDescent="0.25">
      <c r="A24" s="16">
        <v>21</v>
      </c>
      <c r="B24" s="29" t="s">
        <v>38</v>
      </c>
      <c r="C24" s="16" t="s">
        <v>46</v>
      </c>
      <c r="D24" s="16"/>
      <c r="E24" s="16"/>
    </row>
    <row r="25" spans="1:5" x14ac:dyDescent="0.25">
      <c r="A25" s="16">
        <v>22</v>
      </c>
      <c r="B25" s="29" t="s">
        <v>70</v>
      </c>
      <c r="C25" s="16" t="s">
        <v>55</v>
      </c>
      <c r="D25" s="16"/>
      <c r="E25" s="16"/>
    </row>
    <row r="26" spans="1:5" x14ac:dyDescent="0.25">
      <c r="A26" s="16">
        <v>23</v>
      </c>
      <c r="B26" s="29" t="s">
        <v>78</v>
      </c>
      <c r="C26" s="16" t="s">
        <v>55</v>
      </c>
      <c r="D26" s="16"/>
      <c r="E26" s="16"/>
    </row>
    <row r="27" spans="1:5" x14ac:dyDescent="0.25">
      <c r="A27" s="16">
        <v>24</v>
      </c>
      <c r="B27" s="29" t="s">
        <v>77</v>
      </c>
      <c r="C27" s="16" t="s">
        <v>55</v>
      </c>
      <c r="D27" s="16"/>
      <c r="E27" s="16">
        <v>1</v>
      </c>
    </row>
    <row r="28" spans="1:5" x14ac:dyDescent="0.25">
      <c r="A28" s="16">
        <v>25</v>
      </c>
      <c r="B28" s="29" t="s">
        <v>65</v>
      </c>
      <c r="C28" s="16" t="s">
        <v>55</v>
      </c>
      <c r="D28" s="16"/>
      <c r="E28" s="16"/>
    </row>
    <row r="29" spans="1:5" x14ac:dyDescent="0.25">
      <c r="A29" s="16">
        <v>26</v>
      </c>
      <c r="B29" s="29" t="s">
        <v>28</v>
      </c>
      <c r="C29" s="16" t="s">
        <v>55</v>
      </c>
      <c r="D29" s="16"/>
      <c r="E29" s="16">
        <v>1</v>
      </c>
    </row>
    <row r="30" spans="1:5" x14ac:dyDescent="0.25">
      <c r="A30" s="16">
        <v>27</v>
      </c>
      <c r="B30" s="29" t="s">
        <v>68</v>
      </c>
      <c r="C30" s="16" t="s">
        <v>55</v>
      </c>
      <c r="D30" s="16"/>
      <c r="E30" s="16"/>
    </row>
    <row r="31" spans="1:5" x14ac:dyDescent="0.25">
      <c r="A31" s="16">
        <v>28</v>
      </c>
      <c r="B31" s="29" t="s">
        <v>19</v>
      </c>
      <c r="C31" s="16" t="s">
        <v>55</v>
      </c>
      <c r="D31" s="16"/>
      <c r="E31" s="16"/>
    </row>
    <row r="32" spans="1:5" x14ac:dyDescent="0.25">
      <c r="A32" s="16">
        <v>29</v>
      </c>
      <c r="B32" s="29" t="s">
        <v>18</v>
      </c>
      <c r="C32" s="16" t="s">
        <v>55</v>
      </c>
      <c r="D32" s="16"/>
      <c r="E32" s="16">
        <v>1</v>
      </c>
    </row>
    <row r="33" spans="1:5" x14ac:dyDescent="0.25">
      <c r="A33" s="16">
        <v>30</v>
      </c>
      <c r="B33" s="29" t="s">
        <v>76</v>
      </c>
      <c r="C33" s="16" t="s">
        <v>55</v>
      </c>
      <c r="D33" s="16"/>
      <c r="E33" s="16"/>
    </row>
    <row r="34" spans="1:5" x14ac:dyDescent="0.25">
      <c r="A34" s="16">
        <v>31</v>
      </c>
      <c r="B34" s="29" t="s">
        <v>67</v>
      </c>
      <c r="C34" s="16" t="s">
        <v>55</v>
      </c>
      <c r="D34" s="16"/>
      <c r="E34" s="16">
        <v>1</v>
      </c>
    </row>
    <row r="35" spans="1:5" x14ac:dyDescent="0.25">
      <c r="A35" s="16">
        <v>32</v>
      </c>
      <c r="B35" s="29" t="s">
        <v>21</v>
      </c>
      <c r="C35" s="16" t="s">
        <v>47</v>
      </c>
      <c r="D35" s="16"/>
      <c r="E35" s="16"/>
    </row>
    <row r="36" spans="1:5" x14ac:dyDescent="0.25">
      <c r="A36" s="16">
        <v>33</v>
      </c>
      <c r="B36" s="29" t="s">
        <v>23</v>
      </c>
      <c r="C36" s="16" t="s">
        <v>47</v>
      </c>
      <c r="D36" s="16"/>
      <c r="E36" s="16"/>
    </row>
    <row r="37" spans="1:5" x14ac:dyDescent="0.25">
      <c r="A37" s="16">
        <v>34</v>
      </c>
      <c r="B37" s="29" t="s">
        <v>26</v>
      </c>
      <c r="C37" s="16" t="s">
        <v>47</v>
      </c>
      <c r="D37" s="16"/>
      <c r="E37" s="16"/>
    </row>
    <row r="38" spans="1:5" x14ac:dyDescent="0.25">
      <c r="A38" s="16">
        <v>35</v>
      </c>
      <c r="B38" s="29" t="s">
        <v>27</v>
      </c>
      <c r="C38" s="16" t="s">
        <v>47</v>
      </c>
      <c r="D38" s="16"/>
      <c r="E38" s="16"/>
    </row>
    <row r="39" spans="1:5" x14ac:dyDescent="0.25">
      <c r="A39" s="16">
        <v>36</v>
      </c>
      <c r="B39" s="29" t="s">
        <v>25</v>
      </c>
      <c r="C39" s="16" t="s">
        <v>47</v>
      </c>
      <c r="D39" s="16"/>
      <c r="E39" s="16"/>
    </row>
    <row r="40" spans="1:5" x14ac:dyDescent="0.25">
      <c r="A40" s="16">
        <v>37</v>
      </c>
      <c r="B40" s="29" t="s">
        <v>22</v>
      </c>
      <c r="C40" s="16" t="s">
        <v>47</v>
      </c>
      <c r="D40" s="16"/>
      <c r="E40" s="16"/>
    </row>
    <row r="41" spans="1:5" x14ac:dyDescent="0.25">
      <c r="A41" s="16">
        <v>38</v>
      </c>
      <c r="B41" s="29" t="s">
        <v>24</v>
      </c>
      <c r="C41" s="16" t="s">
        <v>47</v>
      </c>
      <c r="D41" s="16"/>
      <c r="E41" s="16"/>
    </row>
    <row r="42" spans="1:5" x14ac:dyDescent="0.25">
      <c r="D42" s="17">
        <f>SUM(D4:D41)</f>
        <v>0</v>
      </c>
      <c r="E42" s="17">
        <f>SUM(E4:E41)</f>
        <v>9</v>
      </c>
    </row>
  </sheetData>
  <autoFilter ref="A3:F3" xr:uid="{00000000-0009-0000-0000-00000B000000}">
    <sortState xmlns:xlrd2="http://schemas.microsoft.com/office/spreadsheetml/2017/richdata2" ref="A3:F31">
      <sortCondition ref="A2"/>
    </sortState>
  </autoFilter>
  <mergeCells count="3">
    <mergeCell ref="A1:E1"/>
    <mergeCell ref="A2:C2"/>
    <mergeCell ref="D2:E2"/>
  </mergeCells>
  <pageMargins left="0.59055118110236227" right="0.19685039370078741" top="0.39370078740157483" bottom="0.19685039370078741" header="0" footer="0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44"/>
  <sheetViews>
    <sheetView workbookViewId="0">
      <selection activeCell="B13" sqref="B13"/>
    </sheetView>
  </sheetViews>
  <sheetFormatPr baseColWidth="10" defaultRowHeight="15" x14ac:dyDescent="0.25"/>
  <cols>
    <col min="1" max="1" width="3.85546875" bestFit="1" customWidth="1"/>
    <col min="2" max="2" width="49.140625" style="21" bestFit="1" customWidth="1"/>
    <col min="3" max="4" width="8.28515625" style="59" customWidth="1"/>
    <col min="5" max="6" width="7.140625" customWidth="1"/>
  </cols>
  <sheetData>
    <row r="1" spans="1:6" ht="22.5" x14ac:dyDescent="0.25">
      <c r="A1" s="201" t="s">
        <v>95</v>
      </c>
      <c r="B1" s="202"/>
      <c r="C1" s="202"/>
      <c r="D1" s="202"/>
      <c r="E1" s="202"/>
      <c r="F1" s="202"/>
    </row>
    <row r="2" spans="1:6" ht="18" x14ac:dyDescent="0.25">
      <c r="A2" s="218"/>
      <c r="B2" s="218"/>
      <c r="C2" s="218"/>
      <c r="D2" s="218"/>
      <c r="E2" s="218"/>
      <c r="F2" s="218"/>
    </row>
    <row r="3" spans="1:6" x14ac:dyDescent="0.25">
      <c r="A3" s="43" t="s">
        <v>2</v>
      </c>
      <c r="B3" s="44" t="s">
        <v>3</v>
      </c>
      <c r="C3" s="44" t="s">
        <v>96</v>
      </c>
      <c r="D3" s="44" t="s">
        <v>97</v>
      </c>
      <c r="E3" s="44"/>
      <c r="F3" s="56"/>
    </row>
    <row r="4" spans="1:6" ht="17.25" x14ac:dyDescent="0.3">
      <c r="A4" s="45">
        <v>1</v>
      </c>
      <c r="B4" s="57" t="s">
        <v>35</v>
      </c>
      <c r="C4" s="60"/>
      <c r="D4" s="60"/>
      <c r="E4" s="61"/>
      <c r="F4" s="61"/>
    </row>
    <row r="5" spans="1:6" ht="17.25" x14ac:dyDescent="0.3">
      <c r="A5" s="45">
        <v>2</v>
      </c>
      <c r="B5" s="54" t="s">
        <v>8</v>
      </c>
      <c r="C5" s="60"/>
      <c r="D5" s="60"/>
      <c r="E5" s="61"/>
      <c r="F5" s="61"/>
    </row>
    <row r="6" spans="1:6" ht="17.25" x14ac:dyDescent="0.3">
      <c r="A6" s="45">
        <v>3</v>
      </c>
      <c r="B6" s="54" t="s">
        <v>36</v>
      </c>
      <c r="C6" s="60"/>
      <c r="D6" s="60"/>
      <c r="E6" s="61"/>
      <c r="F6" s="61"/>
    </row>
    <row r="7" spans="1:6" ht="17.25" x14ac:dyDescent="0.3">
      <c r="A7" s="45">
        <v>4</v>
      </c>
      <c r="B7" s="54" t="s">
        <v>9</v>
      </c>
      <c r="C7" s="60"/>
      <c r="D7" s="60"/>
      <c r="E7" s="61"/>
      <c r="F7" s="61"/>
    </row>
    <row r="8" spans="1:6" ht="17.25" x14ac:dyDescent="0.3">
      <c r="A8" s="45">
        <v>5</v>
      </c>
      <c r="B8" s="58" t="s">
        <v>69</v>
      </c>
      <c r="C8" s="60"/>
      <c r="D8" s="60"/>
      <c r="E8" s="61"/>
      <c r="F8" s="61"/>
    </row>
    <row r="9" spans="1:6" ht="16.5" x14ac:dyDescent="0.3">
      <c r="A9" s="187" t="s">
        <v>11</v>
      </c>
      <c r="B9" s="188"/>
      <c r="C9" s="215"/>
      <c r="D9" s="216"/>
      <c r="E9" s="216"/>
      <c r="F9" s="217"/>
    </row>
    <row r="10" spans="1:6" ht="17.25" x14ac:dyDescent="0.3">
      <c r="A10" s="45">
        <v>1</v>
      </c>
      <c r="B10" s="54" t="s">
        <v>33</v>
      </c>
      <c r="C10" s="60"/>
      <c r="D10" s="60"/>
      <c r="E10" s="61"/>
      <c r="F10" s="61"/>
    </row>
    <row r="11" spans="1:6" ht="17.25" x14ac:dyDescent="0.3">
      <c r="A11" s="45">
        <v>2</v>
      </c>
      <c r="B11" s="54" t="s">
        <v>40</v>
      </c>
      <c r="C11" s="60"/>
      <c r="D11" s="60"/>
      <c r="E11" s="61"/>
      <c r="F11" s="61"/>
    </row>
    <row r="12" spans="1:6" ht="17.25" x14ac:dyDescent="0.3">
      <c r="A12" s="45">
        <v>3</v>
      </c>
      <c r="B12" s="54" t="s">
        <v>37</v>
      </c>
      <c r="C12" s="60"/>
      <c r="D12" s="60"/>
      <c r="E12" s="61"/>
      <c r="F12" s="61"/>
    </row>
    <row r="13" spans="1:6" ht="17.25" x14ac:dyDescent="0.3">
      <c r="A13" s="45">
        <v>4</v>
      </c>
      <c r="B13" s="58" t="s">
        <v>42</v>
      </c>
      <c r="C13" s="60"/>
      <c r="D13" s="60"/>
      <c r="E13" s="61"/>
      <c r="F13" s="61"/>
    </row>
    <row r="14" spans="1:6" ht="17.25" x14ac:dyDescent="0.3">
      <c r="A14" s="45">
        <v>5</v>
      </c>
      <c r="B14" s="51" t="s">
        <v>31</v>
      </c>
      <c r="C14" s="60"/>
      <c r="D14" s="60"/>
      <c r="E14" s="61"/>
      <c r="F14" s="61"/>
    </row>
    <row r="15" spans="1:6" ht="17.25" x14ac:dyDescent="0.3">
      <c r="A15" s="45">
        <v>6</v>
      </c>
      <c r="B15" s="52" t="s">
        <v>15</v>
      </c>
      <c r="C15" s="60"/>
      <c r="D15" s="60"/>
      <c r="E15" s="61"/>
      <c r="F15" s="61"/>
    </row>
    <row r="16" spans="1:6" ht="17.25" x14ac:dyDescent="0.3">
      <c r="A16" s="45">
        <v>7</v>
      </c>
      <c r="B16" s="54" t="s">
        <v>14</v>
      </c>
      <c r="C16" s="60"/>
      <c r="D16" s="60"/>
      <c r="E16" s="61"/>
      <c r="F16" s="61"/>
    </row>
    <row r="17" spans="1:6" ht="17.25" x14ac:dyDescent="0.3">
      <c r="A17" s="45">
        <v>8</v>
      </c>
      <c r="B17" s="58" t="s">
        <v>49</v>
      </c>
      <c r="C17" s="60"/>
      <c r="D17" s="60"/>
      <c r="E17" s="61"/>
      <c r="F17" s="61"/>
    </row>
    <row r="18" spans="1:6" ht="17.25" x14ac:dyDescent="0.3">
      <c r="A18" s="45">
        <v>9</v>
      </c>
      <c r="B18" s="54" t="s">
        <v>12</v>
      </c>
      <c r="C18" s="60"/>
      <c r="D18" s="60"/>
      <c r="E18" s="61"/>
      <c r="F18" s="61"/>
    </row>
    <row r="19" spans="1:6" ht="17.25" x14ac:dyDescent="0.3">
      <c r="A19" s="45">
        <v>10</v>
      </c>
      <c r="B19" s="54" t="s">
        <v>29</v>
      </c>
      <c r="C19" s="60"/>
      <c r="D19" s="60"/>
      <c r="E19" s="61"/>
      <c r="F19" s="61"/>
    </row>
    <row r="20" spans="1:6" ht="17.25" x14ac:dyDescent="0.3">
      <c r="A20" s="45">
        <v>11</v>
      </c>
      <c r="B20" s="58" t="s">
        <v>30</v>
      </c>
      <c r="C20" s="60"/>
      <c r="D20" s="60"/>
      <c r="E20" s="61"/>
      <c r="F20" s="61"/>
    </row>
    <row r="21" spans="1:6" ht="17.25" x14ac:dyDescent="0.3">
      <c r="A21" s="45">
        <v>12</v>
      </c>
      <c r="B21" s="51" t="s">
        <v>32</v>
      </c>
      <c r="C21" s="60"/>
      <c r="D21" s="60"/>
      <c r="E21" s="61"/>
      <c r="F21" s="61"/>
    </row>
    <row r="22" spans="1:6" ht="17.25" x14ac:dyDescent="0.3">
      <c r="A22" s="45">
        <v>13</v>
      </c>
      <c r="B22" s="51" t="s">
        <v>64</v>
      </c>
      <c r="C22" s="60"/>
      <c r="D22" s="60"/>
      <c r="E22" s="61"/>
      <c r="F22" s="61"/>
    </row>
    <row r="23" spans="1:6" ht="17.25" x14ac:dyDescent="0.3">
      <c r="A23" s="45">
        <v>14</v>
      </c>
      <c r="B23" s="54" t="s">
        <v>41</v>
      </c>
      <c r="C23" s="60"/>
      <c r="D23" s="60"/>
      <c r="E23" s="61"/>
      <c r="F23" s="61"/>
    </row>
    <row r="24" spans="1:6" ht="17.25" x14ac:dyDescent="0.3">
      <c r="A24" s="45">
        <v>15</v>
      </c>
      <c r="B24" s="58" t="s">
        <v>39</v>
      </c>
      <c r="C24" s="60"/>
      <c r="D24" s="60"/>
      <c r="E24" s="61"/>
      <c r="F24" s="61"/>
    </row>
    <row r="25" spans="1:6" ht="17.25" x14ac:dyDescent="0.3">
      <c r="A25" s="45">
        <v>16</v>
      </c>
      <c r="B25" s="52" t="s">
        <v>38</v>
      </c>
      <c r="C25" s="60"/>
      <c r="D25" s="60"/>
      <c r="E25" s="61"/>
      <c r="F25" s="61"/>
    </row>
    <row r="26" spans="1:6" ht="16.5" x14ac:dyDescent="0.3">
      <c r="A26" s="193" t="s">
        <v>17</v>
      </c>
      <c r="B26" s="194"/>
      <c r="C26" s="215"/>
      <c r="D26" s="216"/>
      <c r="E26" s="216"/>
      <c r="F26" s="217"/>
    </row>
    <row r="27" spans="1:6" ht="17.25" x14ac:dyDescent="0.3">
      <c r="A27" s="45">
        <v>1</v>
      </c>
      <c r="B27" s="54" t="s">
        <v>70</v>
      </c>
      <c r="C27" s="60"/>
      <c r="D27" s="60"/>
      <c r="E27" s="61"/>
      <c r="F27" s="61"/>
    </row>
    <row r="28" spans="1:6" ht="17.25" x14ac:dyDescent="0.3">
      <c r="A28" s="45">
        <v>2</v>
      </c>
      <c r="B28" s="54" t="s">
        <v>78</v>
      </c>
      <c r="C28" s="60"/>
      <c r="D28" s="60"/>
      <c r="E28" s="61"/>
      <c r="F28" s="61"/>
    </row>
    <row r="29" spans="1:6" ht="17.25" x14ac:dyDescent="0.3">
      <c r="A29" s="45">
        <v>3</v>
      </c>
      <c r="B29" s="54" t="s">
        <v>77</v>
      </c>
      <c r="C29" s="60"/>
      <c r="D29" s="60"/>
      <c r="E29" s="61"/>
      <c r="F29" s="61"/>
    </row>
    <row r="30" spans="1:6" ht="17.25" x14ac:dyDescent="0.3">
      <c r="A30" s="45">
        <v>4</v>
      </c>
      <c r="B30" s="54" t="s">
        <v>65</v>
      </c>
      <c r="C30" s="60"/>
      <c r="D30" s="60"/>
      <c r="E30" s="61"/>
      <c r="F30" s="61"/>
    </row>
    <row r="31" spans="1:6" ht="17.25" x14ac:dyDescent="0.3">
      <c r="A31" s="45">
        <v>5</v>
      </c>
      <c r="B31" s="52" t="s">
        <v>28</v>
      </c>
      <c r="C31" s="60"/>
      <c r="D31" s="60"/>
      <c r="E31" s="61"/>
      <c r="F31" s="61"/>
    </row>
    <row r="32" spans="1:6" ht="17.25" x14ac:dyDescent="0.3">
      <c r="A32" s="45">
        <v>6</v>
      </c>
      <c r="B32" s="54" t="s">
        <v>68</v>
      </c>
      <c r="C32" s="60"/>
      <c r="D32" s="60"/>
      <c r="E32" s="61"/>
      <c r="F32" s="61"/>
    </row>
    <row r="33" spans="1:6" ht="17.25" x14ac:dyDescent="0.3">
      <c r="A33" s="45">
        <v>7</v>
      </c>
      <c r="B33" s="54" t="s">
        <v>19</v>
      </c>
      <c r="C33" s="60"/>
      <c r="D33" s="60"/>
      <c r="E33" s="61"/>
      <c r="F33" s="61"/>
    </row>
    <row r="34" spans="1:6" ht="17.25" x14ac:dyDescent="0.3">
      <c r="A34" s="45">
        <v>8</v>
      </c>
      <c r="B34" s="54" t="s">
        <v>18</v>
      </c>
      <c r="C34" s="60"/>
      <c r="D34" s="60"/>
      <c r="E34" s="61"/>
      <c r="F34" s="61"/>
    </row>
    <row r="35" spans="1:6" ht="17.25" x14ac:dyDescent="0.3">
      <c r="A35" s="45">
        <v>9</v>
      </c>
      <c r="B35" s="54" t="s">
        <v>76</v>
      </c>
      <c r="C35" s="60"/>
      <c r="D35" s="60"/>
      <c r="E35" s="61"/>
      <c r="F35" s="61"/>
    </row>
    <row r="36" spans="1:6" ht="17.25" x14ac:dyDescent="0.3">
      <c r="A36" s="45">
        <v>10</v>
      </c>
      <c r="B36" s="54" t="s">
        <v>67</v>
      </c>
      <c r="C36" s="60"/>
      <c r="D36" s="60"/>
      <c r="E36" s="61"/>
      <c r="F36" s="61"/>
    </row>
    <row r="37" spans="1:6" ht="16.5" x14ac:dyDescent="0.3">
      <c r="A37" s="187" t="s">
        <v>20</v>
      </c>
      <c r="B37" s="188"/>
      <c r="C37" s="215"/>
      <c r="D37" s="216"/>
      <c r="E37" s="216"/>
      <c r="F37" s="217"/>
    </row>
    <row r="38" spans="1:6" ht="17.25" x14ac:dyDescent="0.3">
      <c r="A38" s="53">
        <v>1</v>
      </c>
      <c r="B38" s="54" t="s">
        <v>21</v>
      </c>
      <c r="C38" s="60"/>
      <c r="D38" s="60"/>
      <c r="E38" s="61"/>
      <c r="F38" s="61"/>
    </row>
    <row r="39" spans="1:6" ht="17.25" x14ac:dyDescent="0.3">
      <c r="A39" s="53">
        <v>2</v>
      </c>
      <c r="B39" s="54" t="s">
        <v>23</v>
      </c>
      <c r="C39" s="60"/>
      <c r="D39" s="60"/>
      <c r="E39" s="61"/>
      <c r="F39" s="61"/>
    </row>
    <row r="40" spans="1:6" ht="17.25" x14ac:dyDescent="0.3">
      <c r="A40" s="53">
        <v>3</v>
      </c>
      <c r="B40" s="54" t="s">
        <v>26</v>
      </c>
      <c r="C40" s="60"/>
      <c r="D40" s="60"/>
      <c r="E40" s="61"/>
      <c r="F40" s="61"/>
    </row>
    <row r="41" spans="1:6" ht="17.25" x14ac:dyDescent="0.3">
      <c r="A41" s="53">
        <v>4</v>
      </c>
      <c r="B41" s="54" t="s">
        <v>27</v>
      </c>
      <c r="C41" s="60"/>
      <c r="D41" s="60"/>
      <c r="E41" s="61"/>
      <c r="F41" s="61"/>
    </row>
    <row r="42" spans="1:6" ht="17.25" x14ac:dyDescent="0.3">
      <c r="A42" s="53">
        <v>5</v>
      </c>
      <c r="B42" s="54" t="s">
        <v>25</v>
      </c>
      <c r="C42" s="60"/>
      <c r="D42" s="60"/>
      <c r="E42" s="61"/>
      <c r="F42" s="61"/>
    </row>
    <row r="43" spans="1:6" ht="17.25" x14ac:dyDescent="0.3">
      <c r="A43" s="53">
        <v>6</v>
      </c>
      <c r="B43" s="54" t="s">
        <v>22</v>
      </c>
      <c r="C43" s="60"/>
      <c r="D43" s="60"/>
      <c r="E43" s="61"/>
      <c r="F43" s="61"/>
    </row>
    <row r="44" spans="1:6" ht="17.25" x14ac:dyDescent="0.3">
      <c r="A44" s="53">
        <v>7</v>
      </c>
      <c r="B44" s="54" t="s">
        <v>24</v>
      </c>
      <c r="C44" s="60"/>
      <c r="D44" s="60"/>
      <c r="E44" s="61"/>
      <c r="F44" s="61"/>
    </row>
  </sheetData>
  <mergeCells count="8">
    <mergeCell ref="A37:B37"/>
    <mergeCell ref="C37:F37"/>
    <mergeCell ref="A1:F1"/>
    <mergeCell ref="A2:F2"/>
    <mergeCell ref="A9:B9"/>
    <mergeCell ref="C9:F9"/>
    <mergeCell ref="A26:B26"/>
    <mergeCell ref="C26:F26"/>
  </mergeCells>
  <pageMargins left="0.7" right="0.7" top="0.18" bottom="0.12" header="0.3" footer="0.3"/>
  <pageSetup fitToWidth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D41"/>
  <sheetViews>
    <sheetView workbookViewId="0">
      <selection activeCell="F9" sqref="F9"/>
    </sheetView>
  </sheetViews>
  <sheetFormatPr baseColWidth="10" defaultRowHeight="15" x14ac:dyDescent="0.25"/>
  <cols>
    <col min="2" max="2" width="3.85546875" bestFit="1" customWidth="1"/>
    <col min="3" max="3" width="41" bestFit="1" customWidth="1"/>
    <col min="4" max="4" width="16.42578125" bestFit="1" customWidth="1"/>
  </cols>
  <sheetData>
    <row r="3" spans="2:4" ht="15.75" x14ac:dyDescent="0.25">
      <c r="B3" s="1" t="s">
        <v>2</v>
      </c>
      <c r="C3" s="1" t="s">
        <v>3</v>
      </c>
      <c r="D3" s="1" t="s">
        <v>163</v>
      </c>
    </row>
    <row r="4" spans="2:4" ht="15.75" x14ac:dyDescent="0.25">
      <c r="B4" s="2">
        <v>1</v>
      </c>
      <c r="C4" s="9" t="s">
        <v>35</v>
      </c>
    </row>
    <row r="5" spans="2:4" ht="15.75" x14ac:dyDescent="0.25">
      <c r="B5" s="2">
        <v>2</v>
      </c>
      <c r="C5" s="4" t="s">
        <v>8</v>
      </c>
    </row>
    <row r="6" spans="2:4" ht="15.75" x14ac:dyDescent="0.25">
      <c r="B6" s="2">
        <v>3</v>
      </c>
      <c r="C6" s="4" t="s">
        <v>36</v>
      </c>
    </row>
    <row r="7" spans="2:4" ht="15.75" x14ac:dyDescent="0.25">
      <c r="B7" s="2">
        <v>4</v>
      </c>
      <c r="C7" s="4" t="s">
        <v>9</v>
      </c>
    </row>
    <row r="8" spans="2:4" ht="15.75" x14ac:dyDescent="0.25">
      <c r="B8" s="67">
        <v>5</v>
      </c>
      <c r="C8" s="68" t="s">
        <v>30</v>
      </c>
    </row>
    <row r="9" spans="2:4" ht="15.75" x14ac:dyDescent="0.25">
      <c r="B9" s="2">
        <v>1</v>
      </c>
      <c r="C9" s="4" t="s">
        <v>33</v>
      </c>
    </row>
    <row r="10" spans="2:4" ht="15.75" x14ac:dyDescent="0.25">
      <c r="B10" s="2">
        <v>2</v>
      </c>
      <c r="C10" s="4" t="s">
        <v>40</v>
      </c>
    </row>
    <row r="11" spans="2:4" ht="15.75" x14ac:dyDescent="0.25">
      <c r="B11" s="2">
        <v>3</v>
      </c>
      <c r="C11" s="93" t="s">
        <v>31</v>
      </c>
    </row>
    <row r="12" spans="2:4" ht="15.75" x14ac:dyDescent="0.25">
      <c r="B12" s="2">
        <v>4</v>
      </c>
      <c r="C12" s="4" t="s">
        <v>100</v>
      </c>
    </row>
    <row r="13" spans="2:4" ht="15.75" x14ac:dyDescent="0.25">
      <c r="B13" s="2">
        <v>5</v>
      </c>
      <c r="C13" s="5" t="s">
        <v>15</v>
      </c>
    </row>
    <row r="14" spans="2:4" ht="15.75" x14ac:dyDescent="0.25">
      <c r="B14" s="2">
        <v>6</v>
      </c>
      <c r="C14" s="4" t="s">
        <v>122</v>
      </c>
    </row>
    <row r="15" spans="2:4" ht="15.75" x14ac:dyDescent="0.25">
      <c r="B15" s="2">
        <v>7</v>
      </c>
      <c r="C15" s="5" t="s">
        <v>14</v>
      </c>
    </row>
    <row r="16" spans="2:4" ht="15.75" x14ac:dyDescent="0.25">
      <c r="B16" s="2">
        <v>8</v>
      </c>
      <c r="C16" s="6" t="s">
        <v>49</v>
      </c>
    </row>
    <row r="17" spans="2:3" ht="15.75" x14ac:dyDescent="0.25">
      <c r="B17" s="2">
        <v>9</v>
      </c>
      <c r="C17" s="4" t="s">
        <v>12</v>
      </c>
    </row>
    <row r="18" spans="2:3" ht="15.75" x14ac:dyDescent="0.25">
      <c r="B18" s="2">
        <v>10</v>
      </c>
      <c r="C18" s="4" t="s">
        <v>101</v>
      </c>
    </row>
    <row r="19" spans="2:3" ht="15.75" x14ac:dyDescent="0.25">
      <c r="B19" s="2">
        <v>11</v>
      </c>
      <c r="C19" s="4" t="s">
        <v>29</v>
      </c>
    </row>
    <row r="20" spans="2:3" ht="15.75" x14ac:dyDescent="0.25">
      <c r="B20" s="2">
        <v>12</v>
      </c>
      <c r="C20" s="4" t="s">
        <v>99</v>
      </c>
    </row>
    <row r="21" spans="2:3" ht="15.75" x14ac:dyDescent="0.25">
      <c r="B21" s="2">
        <v>13</v>
      </c>
      <c r="C21" s="93" t="s">
        <v>32</v>
      </c>
    </row>
    <row r="22" spans="2:3" ht="15.75" x14ac:dyDescent="0.25">
      <c r="B22" s="2">
        <v>14</v>
      </c>
      <c r="C22" s="4" t="s">
        <v>41</v>
      </c>
    </row>
    <row r="23" spans="2:3" ht="15.75" x14ac:dyDescent="0.25">
      <c r="B23" s="2">
        <v>15</v>
      </c>
      <c r="C23" s="69" t="s">
        <v>39</v>
      </c>
    </row>
    <row r="24" spans="2:3" ht="15.75" x14ac:dyDescent="0.25">
      <c r="B24" s="67">
        <v>16</v>
      </c>
      <c r="C24" s="5" t="s">
        <v>38</v>
      </c>
    </row>
    <row r="25" spans="2:3" ht="15.75" x14ac:dyDescent="0.25">
      <c r="B25" s="2">
        <v>1</v>
      </c>
      <c r="C25" s="4" t="s">
        <v>70</v>
      </c>
    </row>
    <row r="26" spans="2:3" ht="15.75" x14ac:dyDescent="0.25">
      <c r="B26" s="2">
        <v>2</v>
      </c>
      <c r="C26" s="4" t="s">
        <v>78</v>
      </c>
    </row>
    <row r="27" spans="2:3" ht="15.75" x14ac:dyDescent="0.25">
      <c r="B27" s="2">
        <v>3</v>
      </c>
      <c r="C27" s="5" t="s">
        <v>28</v>
      </c>
    </row>
    <row r="28" spans="2:3" ht="15.75" x14ac:dyDescent="0.25">
      <c r="B28" s="2">
        <v>4</v>
      </c>
      <c r="C28" s="4" t="s">
        <v>68</v>
      </c>
    </row>
    <row r="29" spans="2:3" ht="15.75" x14ac:dyDescent="0.25">
      <c r="B29" s="2">
        <v>5</v>
      </c>
      <c r="C29" s="4" t="s">
        <v>153</v>
      </c>
    </row>
    <row r="30" spans="2:3" ht="15.75" x14ac:dyDescent="0.25">
      <c r="B30" s="2">
        <v>6</v>
      </c>
      <c r="C30" s="4" t="s">
        <v>154</v>
      </c>
    </row>
    <row r="31" spans="2:3" ht="15.75" x14ac:dyDescent="0.25">
      <c r="B31" s="2">
        <v>7</v>
      </c>
      <c r="C31" s="4" t="s">
        <v>19</v>
      </c>
    </row>
    <row r="32" spans="2:3" ht="15.75" x14ac:dyDescent="0.25">
      <c r="B32" s="2">
        <v>8</v>
      </c>
      <c r="C32" s="4" t="s">
        <v>18</v>
      </c>
    </row>
    <row r="33" spans="2:3" ht="15.75" x14ac:dyDescent="0.25">
      <c r="B33" s="2">
        <v>9</v>
      </c>
      <c r="C33" s="4" t="s">
        <v>102</v>
      </c>
    </row>
    <row r="34" spans="2:3" ht="15.75" x14ac:dyDescent="0.25">
      <c r="B34" s="67">
        <v>10</v>
      </c>
      <c r="C34" s="69" t="s">
        <v>67</v>
      </c>
    </row>
    <row r="35" spans="2:3" ht="15.75" x14ac:dyDescent="0.25">
      <c r="B35" s="7">
        <v>1</v>
      </c>
      <c r="C35" s="4" t="s">
        <v>21</v>
      </c>
    </row>
    <row r="36" spans="2:3" ht="15.75" x14ac:dyDescent="0.25">
      <c r="B36" s="7">
        <v>2</v>
      </c>
      <c r="C36" s="4" t="s">
        <v>23</v>
      </c>
    </row>
    <row r="37" spans="2:3" ht="15.75" x14ac:dyDescent="0.25">
      <c r="B37" s="7">
        <v>3</v>
      </c>
      <c r="C37" s="4" t="s">
        <v>26</v>
      </c>
    </row>
    <row r="38" spans="2:3" ht="15.75" x14ac:dyDescent="0.25">
      <c r="B38" s="7">
        <v>4</v>
      </c>
      <c r="C38" s="4" t="s">
        <v>27</v>
      </c>
    </row>
    <row r="39" spans="2:3" ht="15.75" x14ac:dyDescent="0.25">
      <c r="B39" s="7">
        <v>5</v>
      </c>
      <c r="C39" s="4" t="s">
        <v>25</v>
      </c>
    </row>
    <row r="40" spans="2:3" ht="15.75" x14ac:dyDescent="0.25">
      <c r="B40" s="7">
        <v>6</v>
      </c>
      <c r="C40" s="4" t="s">
        <v>22</v>
      </c>
    </row>
    <row r="41" spans="2:3" ht="15.75" x14ac:dyDescent="0.25">
      <c r="B41" s="7">
        <v>7</v>
      </c>
      <c r="C41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3</vt:i4>
      </vt:variant>
    </vt:vector>
  </HeadingPairs>
  <TitlesOfParts>
    <vt:vector size="17" baseType="lpstr">
      <vt:lpstr>PERSONAL DE LA ESFM</vt:lpstr>
      <vt:lpstr>PARTICIPANTES EN LA CUMBRE</vt:lpstr>
      <vt:lpstr>CUMPLEAÑOS</vt:lpstr>
      <vt:lpstr>ASISTENCIA 1</vt:lpstr>
      <vt:lpstr>ASIS_SINDICATO</vt:lpstr>
      <vt:lpstr>ASISTENCIA 2</vt:lpstr>
      <vt:lpstr>ASIS_EST</vt:lpstr>
      <vt:lpstr>AÑO NUEVO</vt:lpstr>
      <vt:lpstr>ASIS_OTROS</vt:lpstr>
      <vt:lpstr>COMISIONES1</vt:lpstr>
      <vt:lpstr>APORTES</vt:lpstr>
      <vt:lpstr>APORTES1</vt:lpstr>
      <vt:lpstr>PRESENTACION</vt:lpstr>
      <vt:lpstr>CUMPLIMINETO</vt:lpstr>
      <vt:lpstr>'PERSONAL DE LA ESFM'!Área_de_impresión</vt:lpstr>
      <vt:lpstr>APORTES1!Títulos_a_imprimir</vt:lpstr>
      <vt:lpstr>'ASISTENCIA 2'!Títulos_a_imprimir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GENERAL</dc:creator>
  <cp:lastModifiedBy>SECRETARIA DAF</cp:lastModifiedBy>
  <cp:lastPrinted>2025-07-23T15:12:27Z</cp:lastPrinted>
  <dcterms:created xsi:type="dcterms:W3CDTF">2024-03-06T12:50:42Z</dcterms:created>
  <dcterms:modified xsi:type="dcterms:W3CDTF">2026-03-09T15:31:56Z</dcterms:modified>
</cp:coreProperties>
</file>